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P710_03\LA COLONIAL Dropbox\Control Calidad La Colonial\SGC LA COLONIAL FABRICA DE HILOS\00. PROPUESTA\1. ISO 9001\4. Indicadores\"/>
    </mc:Choice>
  </mc:AlternateContent>
  <xr:revisionPtr revIDLastSave="0" documentId="13_ncr:1_{82D210C5-0D15-44B2-87CF-8E3D4228DAEC}" xr6:coauthVersionLast="47" xr6:coauthVersionMax="47" xr10:uidLastSave="{00000000-0000-0000-0000-000000000000}"/>
  <bookViews>
    <workbookView xWindow="-120" yWindow="-120" windowWidth="29040" windowHeight="15720" tabRatio="767" xr2:uid="{00000000-000D-0000-FFFF-FFFF00000000}"/>
  </bookViews>
  <sheets>
    <sheet name="ENE" sheetId="51" r:id="rId1"/>
  </sheets>
  <definedNames>
    <definedName name="_xlnm.Print_Area" localSheetId="0">ENE!$B$1:$P$46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51" l="1"/>
  <c r="F24" i="51"/>
  <c r="G24" i="51"/>
  <c r="H24" i="51"/>
  <c r="I24" i="51"/>
  <c r="J24" i="51"/>
  <c r="K24" i="51"/>
  <c r="L24" i="51"/>
  <c r="M24" i="51"/>
  <c r="N24" i="51"/>
  <c r="O24" i="51"/>
  <c r="P24" i="51"/>
  <c r="N16" i="51" l="1"/>
  <c r="E25" i="51"/>
  <c r="F25" i="51"/>
  <c r="G25" i="51"/>
  <c r="H25" i="51"/>
  <c r="I25" i="51"/>
  <c r="J25" i="51"/>
  <c r="K25" i="51"/>
  <c r="L25" i="51"/>
  <c r="M25" i="51"/>
  <c r="N25" i="51"/>
  <c r="O25" i="51"/>
  <c r="P25" i="51"/>
  <c r="D25" i="51"/>
  <c r="G16" i="51"/>
  <c r="D24" i="51" l="1"/>
  <c r="P22" i="51" l="1"/>
  <c r="P23" i="5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Jhordan Gustavo Lopez Pachas</author>
  </authors>
  <commentList>
    <comment ref="M8" authorId="0" shapeId="0" xr:uid="{00000000-0006-0000-0000-000001000000}">
      <text>
        <r>
          <rPr>
            <b/>
            <sz val="12"/>
            <color indexed="81"/>
            <rFont val="Tahoma"/>
            <family val="2"/>
          </rPr>
          <t>CORRESPONDE AL PERIODO EN EL CUAL SE HA OBTENIDO LA DATA</t>
        </r>
        <r>
          <rPr>
            <sz val="12"/>
            <color indexed="81"/>
            <rFont val="Tahoma"/>
            <family val="2"/>
          </rPr>
          <t xml:space="preserve">
</t>
        </r>
      </text>
    </comment>
    <comment ref="B10" authorId="1" shapeId="0" xr:uid="{00000000-0006-0000-0000-000002000000}">
      <text>
        <r>
          <rPr>
            <b/>
            <sz val="16"/>
            <color indexed="81"/>
            <rFont val="Tahoma"/>
            <family val="2"/>
          </rPr>
          <t>Título del indicador 
(de qué trata)</t>
        </r>
      </text>
    </comment>
    <comment ref="M12" authorId="1" shapeId="0" xr:uid="{00000000-0006-0000-0000-000003000000}">
      <text>
        <r>
          <rPr>
            <b/>
            <sz val="14"/>
            <color indexed="81"/>
            <rFont val="Tahoma"/>
            <family val="2"/>
          </rPr>
          <t>Puede ser mensual, trimestral, semestral, anual o según sea el caso</t>
        </r>
      </text>
    </comment>
    <comment ref="B14" authorId="1" shapeId="0" xr:uid="{00000000-0006-0000-0000-000004000000}">
      <text>
        <r>
          <rPr>
            <b/>
            <sz val="14"/>
            <color indexed="81"/>
            <rFont val="Tahoma"/>
            <family val="2"/>
          </rPr>
          <t>Resultado promedio logrado en el 2016</t>
        </r>
      </text>
    </comment>
    <comment ref="I14" authorId="1" shapeId="0" xr:uid="{00000000-0006-0000-0000-000005000000}">
      <text>
        <r>
          <rPr>
            <b/>
            <sz val="14"/>
            <color indexed="81"/>
            <rFont val="Tahoma"/>
            <family val="2"/>
          </rPr>
          <t xml:space="preserve">Se sugiere insertar ecuación 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B16" authorId="1" shapeId="0" xr:uid="{00000000-0006-0000-0000-000006000000}">
      <text>
        <r>
          <rPr>
            <b/>
            <sz val="14"/>
            <color indexed="81"/>
            <rFont val="Tahoma"/>
            <family val="2"/>
          </rPr>
          <t>Ayuda a determinar el estado del resultado del indicador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6" authorId="1" shapeId="0" xr:uid="{00000000-0006-0000-0000-000007000000}">
      <text>
        <r>
          <rPr>
            <b/>
            <sz val="14"/>
            <color indexed="81"/>
            <rFont val="Tahoma"/>
            <family val="2"/>
          </rPr>
          <t>Indicar dónde se ubican los datos utilizados para el cálculo del indicador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<sst xmlns="http://schemas.openxmlformats.org/spreadsheetml/2006/main" count="58" uniqueCount="57">
  <si>
    <t>OBJETIVO</t>
  </si>
  <si>
    <t>Atentamente,</t>
  </si>
  <si>
    <t>ÁREA O PROCESO</t>
  </si>
  <si>
    <t>META</t>
  </si>
  <si>
    <t>SEMÁFORO DE COLORES</t>
  </si>
  <si>
    <t>RESULTADOS (GRÁFICOS Y TABLAS) :</t>
  </si>
  <si>
    <t xml:space="preserve">INDICADOR </t>
  </si>
  <si>
    <t>MES O PERIODO CORRESPONDIENTE</t>
  </si>
  <si>
    <t>FRECUENCIA DE SEGUIMIENTO Y MEDICIÓN</t>
  </si>
  <si>
    <t>REPORTE DE INDICADOR DE DESEMPEÑO</t>
  </si>
  <si>
    <t>Promedio Anual</t>
  </si>
  <si>
    <t>P-04-F01</t>
  </si>
  <si>
    <t>EXPRESIÓN CONCEPTUAL DEL INDICADOR</t>
  </si>
  <si>
    <t>EXPRESIÓN MATEMÁTICA DEL INDICADOR</t>
  </si>
  <si>
    <t>INDIQUE LA FUENTE DE LOS DATOS:</t>
  </si>
  <si>
    <t>INTERPRETACIÓN DE RESULTADOS</t>
  </si>
  <si>
    <t>ACCIONES DE MEJORA</t>
  </si>
  <si>
    <t>Acción a tomar</t>
  </si>
  <si>
    <t>Responsable de la acción a tomar</t>
  </si>
  <si>
    <t>Fecha límite</t>
  </si>
  <si>
    <t>Evidencia</t>
  </si>
  <si>
    <t>Sistemas de datos Oracle</t>
  </si>
  <si>
    <t>Partidas entregadas en fecha</t>
  </si>
  <si>
    <t>Total de partidas</t>
  </si>
  <si>
    <t>Código</t>
  </si>
  <si>
    <t>Versión / fecha</t>
  </si>
  <si>
    <t>02 / 02-01-2018</t>
  </si>
  <si>
    <t>Última revisión</t>
  </si>
  <si>
    <t>Aprobado</t>
  </si>
  <si>
    <t>Gerente General</t>
  </si>
  <si>
    <t>Elaborado</t>
  </si>
  <si>
    <t>Coordinador de GC</t>
  </si>
  <si>
    <t>¿Por qué se obtuvieron dichos resultados?
A la derecha indique la causa o posibles causas de los resultados obtenidos para el presente periodo: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</si>
  <si>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</si>
  <si>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</si>
  <si>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</si>
  <si>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</si>
  <si>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</si>
  <si>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</si>
  <si>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</si>
  <si>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</si>
  <si>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</si>
  <si>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</si>
  <si>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</si>
  <si>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</si>
  <si>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TRIMESTRE</t>
  </si>
  <si>
    <t>VERIFICACIÓN DE CUMPLIMIENTO</t>
  </si>
  <si>
    <t>RESULTADO MENSUAL</t>
  </si>
  <si>
    <t>≤</t>
  </si>
  <si>
    <r>
      <t xml:space="preserve">Indicador </t>
    </r>
    <r>
      <rPr>
        <b/>
        <sz val="11"/>
        <color theme="0"/>
        <rFont val="Aptos Narrow"/>
        <family val="2"/>
      </rPr>
      <t>≤</t>
    </r>
  </si>
  <si>
    <t xml:space="preserve"> &lt; Indicador</t>
  </si>
  <si>
    <t>CRÉDITOS Y COBRANZAS</t>
  </si>
  <si>
    <t>Nivel de morosidad de los clientes</t>
  </si>
  <si>
    <t>Identificar el nivel de riesgo de la continuidad del negocio a través de la morosidad</t>
  </si>
  <si>
    <t>Es el porcentaje de las carteras vencidad sobre el total de las carteras de clientes en un periodo de tiempo</t>
  </si>
  <si>
    <t>Jefe de Créditos y Cobranzas</t>
  </si>
  <si>
    <t>Mariela Alvildo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</si>
</sst>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indexed="81"/>
      <name val="Tahoma"/>
      <family val="2"/>
    </font>
    <font>
      <sz val="9"/>
      <color indexed="81"/>
      <name val="Tahoma"/>
      <family val="2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sz val="10"/>
      <color theme="1"/>
      <name val="Calibri"/>
      <family val="2"/>
      <scheme val="minor"/>
    </font>
    <font>
      <b/>
      <sz val="18"/>
      <color theme="1"/>
      <name val="Arial"/>
      <family val="2"/>
    </font>
    <font>
      <sz val="12"/>
      <color theme="1"/>
      <name val="Arial"/>
      <family val="2"/>
    </font>
    <font>
      <b/>
      <sz val="16"/>
      <color indexed="81"/>
      <name val="Tahoma"/>
      <family val="2"/>
    </font>
    <font>
      <sz val="12"/>
      <color indexed="81"/>
      <name val="Tahoma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 tint="0.34998626667073579"/>
      <name val="Calibri"/>
      <family val="2"/>
      <scheme val="minor"/>
    </font>
    <font>
      <b/>
      <sz val="12"/>
      <color theme="1" tint="0.34998626667073579"/>
      <name val="Arial"/>
      <family val="2"/>
    </font>
    <font>
      <b/>
      <u/>
      <sz val="12"/>
      <name val="Arial"/>
      <family val="2"/>
    </font>
    <font>
      <i/>
      <sz val="12"/>
      <name val="Arial"/>
      <family val="2"/>
    </font>
    <font>
      <sz val="12"/>
      <color rgb="FFFF000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rgb="FF002060"/>
      <name val="Arial"/>
      <family val="2"/>
    </font>
    <font>
      <b/>
      <sz val="10"/>
      <color rgb="FF002060"/>
      <name val="Aptos Narrow"/>
      <family val="2"/>
    </font>
    <font>
      <b/>
      <sz val="11"/>
      <color theme="0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14999847407452621"/>
      </right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indexed="64"/>
      </bottom>
      <diagonal/>
    </border>
    <border>
      <left style="thin">
        <color theme="0" tint="-0.14999847407452621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top"/>
    </xf>
    <xf numFmtId="0" fontId="16" fillId="0" borderId="0"/>
    <xf numFmtId="9" fontId="17" fillId="0" borderId="0" applyFont="0" applyFill="0" applyBorder="0" applyAlignment="0" applyProtection="0"/>
  </cellStyleXfs>
  <cellXfs count="138">
    <xf numFmtId="0" fontId="0" fillId="0" borderId="0" xfId="0"/>
    <xf numFmtId="0" fontId="5" fillId="0" borderId="0" xfId="0" applyFont="1"/>
    <xf numFmtId="0" fontId="5" fillId="3" borderId="0" xfId="0" applyFont="1" applyFill="1"/>
    <xf numFmtId="0" fontId="6" fillId="0" borderId="0" xfId="0" applyFont="1"/>
    <xf numFmtId="0" fontId="6" fillId="3" borderId="0" xfId="0" applyFont="1" applyFill="1"/>
    <xf numFmtId="0" fontId="0" fillId="3" borderId="0" xfId="0" applyFill="1"/>
    <xf numFmtId="0" fontId="2" fillId="3" borderId="0" xfId="0" applyFont="1" applyFill="1"/>
    <xf numFmtId="0" fontId="3" fillId="3" borderId="0" xfId="0" applyFont="1" applyFill="1" applyAlignment="1">
      <alignment horizontal="right" vertical="top"/>
    </xf>
    <xf numFmtId="49" fontId="4" fillId="3" borderId="0" xfId="0" applyNumberFormat="1" applyFont="1" applyFill="1" applyAlignment="1">
      <alignment vertical="center"/>
    </xf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18" fillId="0" borderId="0" xfId="0" applyFont="1"/>
    <xf numFmtId="0" fontId="18" fillId="3" borderId="0" xfId="0" applyFont="1" applyFill="1"/>
    <xf numFmtId="0" fontId="4" fillId="0" borderId="0" xfId="0" applyFont="1"/>
    <xf numFmtId="0" fontId="23" fillId="3" borderId="1" xfId="0" applyFont="1" applyFill="1" applyBorder="1" applyAlignment="1">
      <alignment horizontal="left" vertical="center"/>
    </xf>
    <xf numFmtId="14" fontId="23" fillId="3" borderId="1" xfId="0" applyNumberFormat="1" applyFont="1" applyFill="1" applyBorder="1" applyAlignment="1">
      <alignment horizontal="left" vertical="center"/>
    </xf>
    <xf numFmtId="0" fontId="13" fillId="3" borderId="0" xfId="0" applyFont="1" applyFill="1"/>
    <xf numFmtId="0" fontId="24" fillId="2" borderId="1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 wrapText="1"/>
    </xf>
    <xf numFmtId="2" fontId="25" fillId="0" borderId="1" xfId="0" applyNumberFormat="1" applyFont="1" applyBorder="1" applyAlignment="1">
      <alignment horizontal="center" vertical="center"/>
    </xf>
    <xf numFmtId="2" fontId="25" fillId="7" borderId="0" xfId="2" applyNumberFormat="1" applyFont="1" applyFill="1" applyAlignment="1">
      <alignment horizontal="center" vertical="center"/>
    </xf>
    <xf numFmtId="2" fontId="25" fillId="0" borderId="0" xfId="0" applyNumberFormat="1" applyFont="1" applyAlignment="1">
      <alignment horizontal="center" vertical="center"/>
    </xf>
    <xf numFmtId="4" fontId="6" fillId="2" borderId="1" xfId="0" quotePrefix="1" applyNumberFormat="1" applyFont="1" applyFill="1" applyBorder="1" applyAlignment="1">
      <alignment horizontal="center" vertical="center"/>
    </xf>
    <xf numFmtId="2" fontId="25" fillId="0" borderId="1" xfId="0" quotePrefix="1" applyNumberFormat="1" applyFont="1" applyBorder="1" applyAlignment="1">
      <alignment horizontal="center" vertical="center"/>
    </xf>
    <xf numFmtId="164" fontId="20" fillId="0" borderId="1" xfId="3" applyNumberFormat="1" applyFont="1" applyBorder="1" applyAlignment="1">
      <alignment horizontal="center" vertical="center"/>
    </xf>
    <xf numFmtId="9" fontId="20" fillId="2" borderId="1" xfId="3" applyFont="1" applyFill="1" applyBorder="1" applyAlignment="1">
      <alignment horizontal="center" vertical="center"/>
    </xf>
    <xf numFmtId="0" fontId="28" fillId="3" borderId="0" xfId="0" applyFont="1" applyFill="1" applyAlignment="1">
      <alignment horizontal="right" vertical="center"/>
    </xf>
    <xf numFmtId="0" fontId="27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25" fillId="3" borderId="0" xfId="0" applyFont="1" applyFill="1" applyAlignment="1">
      <alignment horizontal="left" vertical="top" wrapText="1"/>
    </xf>
    <xf numFmtId="0" fontId="35" fillId="3" borderId="0" xfId="0" applyFont="1" applyFill="1" applyAlignment="1">
      <alignment vertical="center" wrapText="1"/>
    </xf>
    <xf numFmtId="0" fontId="36" fillId="0" borderId="0" xfId="0" applyFont="1"/>
    <xf numFmtId="0" fontId="1" fillId="3" borderId="0" xfId="1" applyFill="1" applyAlignment="1">
      <alignment horizontal="center" vertical="center" wrapText="1"/>
    </xf>
    <xf numFmtId="0" fontId="36" fillId="3" borderId="0" xfId="0" applyFont="1" applyFill="1"/>
    <xf numFmtId="0" fontId="37" fillId="3" borderId="0" xfId="0" applyFont="1" applyFill="1" applyAlignment="1">
      <alignment horizontal="center" vertical="center" wrapText="1"/>
    </xf>
    <xf numFmtId="14" fontId="37" fillId="3" borderId="0" xfId="0" applyNumberFormat="1" applyFont="1" applyFill="1" applyAlignment="1">
      <alignment horizontal="center" vertical="center" wrapText="1"/>
    </xf>
    <xf numFmtId="0" fontId="36" fillId="3" borderId="0" xfId="0" applyFont="1" applyFill="1" applyAlignment="1">
      <alignment vertical="center" wrapText="1"/>
    </xf>
    <xf numFmtId="0" fontId="11" fillId="0" borderId="0" xfId="0" applyFont="1"/>
    <xf numFmtId="0" fontId="11" fillId="3" borderId="0" xfId="0" applyFont="1" applyFill="1"/>
    <xf numFmtId="0" fontId="38" fillId="3" borderId="0" xfId="0" applyFont="1" applyFill="1" applyAlignment="1">
      <alignment horizontal="center" vertical="center" wrapText="1"/>
    </xf>
    <xf numFmtId="0" fontId="35" fillId="3" borderId="0" xfId="0" applyFont="1" applyFill="1" applyAlignment="1">
      <alignment horizontal="center" vertical="center" wrapText="1"/>
    </xf>
    <xf numFmtId="14" fontId="1" fillId="3" borderId="0" xfId="0" applyNumberFormat="1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9" fontId="39" fillId="4" borderId="4" xfId="0" applyNumberFormat="1" applyFont="1" applyFill="1" applyBorder="1" applyAlignment="1">
      <alignment horizontal="left" vertical="center"/>
    </xf>
    <xf numFmtId="0" fontId="34" fillId="4" borderId="5" xfId="0" applyFont="1" applyFill="1" applyBorder="1"/>
    <xf numFmtId="9" fontId="33" fillId="8" borderId="3" xfId="0" applyNumberFormat="1" applyFont="1" applyFill="1" applyBorder="1" applyAlignment="1">
      <alignment horizontal="right" vertical="center"/>
    </xf>
    <xf numFmtId="9" fontId="33" fillId="8" borderId="5" xfId="0" applyNumberFormat="1" applyFont="1" applyFill="1" applyBorder="1" applyAlignment="1">
      <alignment horizontal="left" vertical="center"/>
    </xf>
    <xf numFmtId="0" fontId="34" fillId="5" borderId="3" xfId="0" applyFont="1" applyFill="1" applyBorder="1"/>
    <xf numFmtId="9" fontId="39" fillId="5" borderId="4" xfId="1" applyNumberFormat="1" applyFont="1" applyFill="1" applyBorder="1" applyAlignment="1">
      <alignment vertical="center" wrapText="1"/>
    </xf>
    <xf numFmtId="0" fontId="19" fillId="0" borderId="0" xfId="0" applyFont="1"/>
    <xf numFmtId="9" fontId="40" fillId="3" borderId="5" xfId="0" applyNumberFormat="1" applyFont="1" applyFill="1" applyBorder="1" applyAlignment="1">
      <alignment horizontal="left" vertical="center" wrapText="1"/>
    </xf>
    <xf numFmtId="9" fontId="41" fillId="3" borderId="3" xfId="0" applyNumberFormat="1" applyFont="1" applyFill="1" applyBorder="1" applyAlignment="1">
      <alignment horizontal="right" vertical="center" wrapText="1"/>
    </xf>
    <xf numFmtId="0" fontId="13" fillId="3" borderId="0" xfId="0" applyFont="1" applyFill="1" applyAlignment="1">
      <alignment horizontal="center" vertical="center"/>
    </xf>
    <xf numFmtId="0" fontId="24" fillId="6" borderId="3" xfId="0" applyFont="1" applyFill="1" applyBorder="1" applyAlignment="1">
      <alignment horizontal="right" vertical="center"/>
    </xf>
    <xf numFmtId="0" fontId="24" fillId="6" borderId="4" xfId="0" applyFont="1" applyFill="1" applyBorder="1" applyAlignment="1">
      <alignment horizontal="right" vertical="center"/>
    </xf>
    <xf numFmtId="0" fontId="24" fillId="6" borderId="5" xfId="0" applyFont="1" applyFill="1" applyBorder="1" applyAlignment="1">
      <alignment horizontal="right" vertical="center"/>
    </xf>
    <xf numFmtId="0" fontId="27" fillId="3" borderId="3" xfId="0" applyFont="1" applyFill="1" applyBorder="1" applyAlignment="1">
      <alignment horizontal="left" vertical="center"/>
    </xf>
    <xf numFmtId="0" fontId="27" fillId="3" borderId="4" xfId="0" applyFont="1" applyFill="1" applyBorder="1" applyAlignment="1">
      <alignment horizontal="left" vertical="center"/>
    </xf>
    <xf numFmtId="0" fontId="27" fillId="3" borderId="5" xfId="0" applyFont="1" applyFill="1" applyBorder="1" applyAlignment="1">
      <alignment horizontal="left" vertical="center"/>
    </xf>
    <xf numFmtId="0" fontId="29" fillId="2" borderId="3" xfId="0" applyFont="1" applyFill="1" applyBorder="1" applyAlignment="1">
      <alignment horizontal="left" vertical="center"/>
    </xf>
    <xf numFmtId="0" fontId="29" fillId="2" borderId="4" xfId="0" applyFont="1" applyFill="1" applyBorder="1" applyAlignment="1">
      <alignment horizontal="left" vertical="center"/>
    </xf>
    <xf numFmtId="0" fontId="29" fillId="2" borderId="5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1" fillId="2" borderId="11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26" fillId="0" borderId="13" xfId="0" applyFont="1" applyBorder="1" applyAlignment="1">
      <alignment horizontal="left" vertical="top" wrapText="1"/>
    </xf>
    <xf numFmtId="0" fontId="26" fillId="0" borderId="14" xfId="0" applyFont="1" applyBorder="1" applyAlignment="1">
      <alignment horizontal="left" vertical="top" wrapText="1"/>
    </xf>
    <xf numFmtId="0" fontId="26" fillId="0" borderId="15" xfId="0" applyFont="1" applyBorder="1" applyAlignment="1">
      <alignment horizontal="left" vertical="top" wrapText="1"/>
    </xf>
    <xf numFmtId="0" fontId="30" fillId="0" borderId="0" xfId="0" applyFont="1" applyAlignment="1">
      <alignment horizontal="left" vertical="top" wrapText="1"/>
    </xf>
    <xf numFmtId="0" fontId="25" fillId="3" borderId="8" xfId="0" applyFont="1" applyFill="1" applyBorder="1" applyAlignment="1">
      <alignment horizontal="left" vertical="top" wrapText="1"/>
    </xf>
    <xf numFmtId="0" fontId="25" fillId="3" borderId="9" xfId="0" applyFont="1" applyFill="1" applyBorder="1" applyAlignment="1">
      <alignment horizontal="left" vertical="top" wrapText="1"/>
    </xf>
    <xf numFmtId="0" fontId="25" fillId="3" borderId="12" xfId="0" applyFont="1" applyFill="1" applyBorder="1" applyAlignment="1">
      <alignment horizontal="left" vertical="top" wrapText="1"/>
    </xf>
    <xf numFmtId="0" fontId="31" fillId="0" borderId="3" xfId="0" applyFont="1" applyBorder="1" applyAlignment="1">
      <alignment vertical="center" wrapText="1"/>
    </xf>
    <xf numFmtId="0" fontId="31" fillId="0" borderId="4" xfId="0" applyFont="1" applyBorder="1" applyAlignment="1">
      <alignment vertical="center" wrapText="1"/>
    </xf>
    <xf numFmtId="0" fontId="31" fillId="0" borderId="5" xfId="0" applyFont="1" applyBorder="1" applyAlignment="1">
      <alignment vertical="center" wrapText="1"/>
    </xf>
    <xf numFmtId="0" fontId="37" fillId="2" borderId="3" xfId="0" applyFont="1" applyFill="1" applyBorder="1" applyAlignment="1">
      <alignment horizontal="center" vertical="center" wrapText="1"/>
    </xf>
    <xf numFmtId="0" fontId="37" fillId="2" borderId="4" xfId="0" applyFont="1" applyFill="1" applyBorder="1" applyAlignment="1">
      <alignment horizontal="center" vertical="center" wrapText="1"/>
    </xf>
    <xf numFmtId="0" fontId="37" fillId="2" borderId="5" xfId="0" applyFont="1" applyFill="1" applyBorder="1" applyAlignment="1">
      <alignment horizontal="center" vertical="center" wrapText="1"/>
    </xf>
    <xf numFmtId="0" fontId="37" fillId="3" borderId="1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 wrapText="1"/>
    </xf>
    <xf numFmtId="17" fontId="37" fillId="0" borderId="1" xfId="1" applyNumberFormat="1" applyFont="1" applyBorder="1" applyAlignment="1">
      <alignment horizontal="center" vertical="center" wrapText="1"/>
    </xf>
    <xf numFmtId="0" fontId="37" fillId="2" borderId="3" xfId="0" applyFont="1" applyFill="1" applyBorder="1" applyAlignment="1">
      <alignment horizontal="left" vertical="center" wrapText="1"/>
    </xf>
    <xf numFmtId="0" fontId="37" fillId="2" borderId="5" xfId="0" applyFont="1" applyFill="1" applyBorder="1" applyAlignment="1">
      <alignment horizontal="left" vertical="center" wrapText="1"/>
    </xf>
    <xf numFmtId="9" fontId="32" fillId="2" borderId="1" xfId="0" applyNumberFormat="1" applyFont="1" applyFill="1" applyBorder="1" applyAlignment="1">
      <alignment horizontal="center" vertical="center" wrapText="1"/>
    </xf>
    <xf numFmtId="0" fontId="32" fillId="8" borderId="5" xfId="0" applyFont="1" applyFill="1" applyBorder="1" applyAlignment="1">
      <alignment horizontal="center" vertical="center" wrapText="1"/>
    </xf>
    <xf numFmtId="0" fontId="32" fillId="8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center"/>
    </xf>
    <xf numFmtId="0" fontId="40" fillId="0" borderId="1" xfId="1" applyFont="1" applyBorder="1" applyAlignment="1">
      <alignment horizontal="center" vertical="center" wrapText="1"/>
    </xf>
    <xf numFmtId="9" fontId="37" fillId="2" borderId="1" xfId="0" applyNumberFormat="1" applyFont="1" applyFill="1" applyBorder="1" applyAlignment="1">
      <alignment horizontal="center" vertical="center" wrapText="1"/>
    </xf>
    <xf numFmtId="10" fontId="1" fillId="0" borderId="3" xfId="1" applyNumberFormat="1" applyBorder="1" applyAlignment="1">
      <alignment horizontal="center" vertical="center" wrapText="1"/>
    </xf>
    <xf numFmtId="10" fontId="1" fillId="0" borderId="4" xfId="1" applyNumberFormat="1" applyBorder="1" applyAlignment="1">
      <alignment horizontal="center" vertical="center" wrapText="1"/>
    </xf>
    <xf numFmtId="10" fontId="1" fillId="0" borderId="5" xfId="1" applyNumberForma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left" vertical="center"/>
    </xf>
    <xf numFmtId="0" fontId="35" fillId="2" borderId="3" xfId="0" applyFont="1" applyFill="1" applyBorder="1" applyAlignment="1">
      <alignment horizontal="center" vertical="center" wrapText="1"/>
    </xf>
    <xf numFmtId="0" fontId="35" fillId="2" borderId="4" xfId="0" applyFont="1" applyFill="1" applyBorder="1" applyAlignment="1">
      <alignment horizontal="center" vertical="center" wrapText="1"/>
    </xf>
    <xf numFmtId="0" fontId="35" fillId="2" borderId="5" xfId="0" applyFont="1" applyFill="1" applyBorder="1" applyAlignment="1">
      <alignment horizontal="center" vertical="center" wrapText="1"/>
    </xf>
    <xf numFmtId="0" fontId="35" fillId="3" borderId="1" xfId="0" applyFont="1" applyFill="1" applyBorder="1" applyAlignment="1">
      <alignment horizontal="center" vertical="center" wrapText="1"/>
    </xf>
    <xf numFmtId="17" fontId="35" fillId="0" borderId="1" xfId="0" applyNumberFormat="1" applyFont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left" vertical="center"/>
    </xf>
    <xf numFmtId="0" fontId="22" fillId="3" borderId="5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" fillId="0" borderId="3" xfId="1" applyBorder="1" applyAlignment="1">
      <alignment horizontal="center" vertical="center" wrapText="1"/>
    </xf>
    <xf numFmtId="0" fontId="1" fillId="0" borderId="4" xfId="1" applyBorder="1" applyAlignment="1">
      <alignment horizontal="center" vertical="center" wrapText="1"/>
    </xf>
    <xf numFmtId="0" fontId="1" fillId="0" borderId="5" xfId="1" applyBorder="1" applyAlignment="1">
      <alignment horizontal="center" vertical="center" wrapText="1"/>
    </xf>
    <xf numFmtId="14" fontId="37" fillId="2" borderId="1" xfId="0" applyNumberFormat="1" applyFont="1" applyFill="1" applyBorder="1" applyAlignment="1">
      <alignment horizontal="center" vertical="center" wrapText="1"/>
    </xf>
    <xf numFmtId="14" fontId="31" fillId="0" borderId="3" xfId="0" applyNumberFormat="1" applyFont="1" applyBorder="1" applyAlignment="1">
      <alignment vertical="center" wrapText="1"/>
    </xf>
    <xf numFmtId="14" fontId="31" fillId="0" borderId="5" xfId="0" applyNumberFormat="1" applyFont="1" applyBorder="1" applyAlignment="1">
      <alignment vertical="center" wrapText="1"/>
    </xf>
    <xf numFmtId="14" fontId="31" fillId="0" borderId="3" xfId="0" quotePrefix="1" applyNumberFormat="1" applyFont="1" applyBorder="1" applyAlignment="1">
      <alignment vertical="center" wrapText="1"/>
    </xf>
    <xf numFmtId="14" fontId="31" fillId="0" borderId="4" xfId="0" quotePrefix="1" applyNumberFormat="1" applyFont="1" applyBorder="1" applyAlignment="1">
      <alignment vertical="center" wrapText="1"/>
    </xf>
    <xf numFmtId="14" fontId="31" fillId="0" borderId="5" xfId="0" quotePrefix="1" applyNumberFormat="1" applyFont="1" applyBorder="1" applyAlignment="1">
      <alignment vertical="center" wrapText="1"/>
    </xf>
    <xf numFmtId="164" fontId="39" fillId="4" borderId="1" xfId="0" applyNumberFormat="1" applyFont="1" applyFill="1" applyBorder="1" applyAlignment="1">
      <alignment horizontal="right" vertical="center"/>
    </xf>
    <xf numFmtId="164" fontId="39" fillId="4" borderId="3" xfId="0" applyNumberFormat="1" applyFont="1" applyFill="1" applyBorder="1" applyAlignment="1">
      <alignment horizontal="right" vertical="center"/>
    </xf>
    <xf numFmtId="0" fontId="39" fillId="5" borderId="5" xfId="1" applyFont="1" applyFill="1" applyBorder="1" applyAlignment="1">
      <alignment horizontal="left" vertical="center" wrapText="1"/>
    </xf>
    <xf numFmtId="0" fontId="39" fillId="5" borderId="1" xfId="1" applyFont="1" applyFill="1" applyBorder="1" applyAlignment="1">
      <alignment horizontal="left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_Informe - Prod Hil SET 2014" xfId="2" xr:uid="{00000000-0005-0000-0000-000002000000}"/>
    <cellStyle name="Porcentaje" xfId="3" builtinId="5"/>
  </cellStyles>
  <dxfs count="4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colors>
    <mruColors>
      <color rgb="FFC5C000"/>
      <color rgb="FFFFFFFF"/>
      <color rgb="FF0099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714317474191381E-2"/>
          <c:y val="2.9616588246834167E-2"/>
          <c:w val="0.88633409880516434"/>
          <c:h val="0.88790115867684516"/>
        </c:manualLayout>
      </c:layout>
      <c:barChart>
        <c:barDir val="col"/>
        <c:grouping val="clustered"/>
        <c:varyColors val="0"/>
        <c:ser>
          <c:idx val="0"/>
          <c:order val="0"/>
          <c:tx>
            <c:v>Nivel de cumplimiento</c:v>
          </c:tx>
          <c:spPr>
            <a:solidFill>
              <a:srgbClr val="C5C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ENE!$D$21:$O$21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ENE!$D$24:$O$24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C5-42BA-BFD6-62B6A3688E8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7269376"/>
        <c:axId val="87270912"/>
      </c:barChart>
      <c:lineChart>
        <c:grouping val="standard"/>
        <c:varyColors val="0"/>
        <c:ser>
          <c:idx val="1"/>
          <c:order val="1"/>
          <c:tx>
            <c:strRef>
              <c:f>ENE!$B$25</c:f>
              <c:strCache>
                <c:ptCount val="1"/>
                <c:pt idx="0">
                  <c:v>META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ENE!$D$21:$O$21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ENE!$D$25:$O$25</c:f>
              <c:numCache>
                <c:formatCode>0%</c:formatCode>
                <c:ptCount val="12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C5-42BA-BFD6-62B6A3688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269376"/>
        <c:axId val="87270912"/>
      </c:lineChart>
      <c:catAx>
        <c:axId val="8726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7270912"/>
        <c:crosses val="autoZero"/>
        <c:auto val="1"/>
        <c:lblAlgn val="ctr"/>
        <c:lblOffset val="100"/>
        <c:noMultiLvlLbl val="0"/>
      </c:catAx>
      <c:valAx>
        <c:axId val="87270912"/>
        <c:scaling>
          <c:orientation val="minMax"/>
          <c:max val="0.5"/>
          <c:min val="-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7269376"/>
        <c:crosses val="autoZero"/>
        <c:crossBetween val="between"/>
        <c:majorUnit val="5.000000000000001E-2"/>
        <c:minorUnit val="1.0000000000000002E-2"/>
      </c:valAx>
      <c:spPr>
        <a:solidFill>
          <a:schemeClr val="bg1"/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80316457025949373"/>
          <c:y val="0.57577722460502889"/>
          <c:w val="0.19683542426947229"/>
          <c:h val="7.41621982363042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gradFill flip="none" rotWithShape="1">
      <a:gsLst>
        <a:gs pos="100000">
          <a:schemeClr val="bg1">
            <a:lumMod val="75000"/>
          </a:schemeClr>
        </a:gs>
        <a:gs pos="86000">
          <a:schemeClr val="bg1"/>
        </a:gs>
      </a:gsLst>
      <a:path path="rect">
        <a:fillToRect l="50000" t="50000" r="50000" b="50000"/>
      </a:path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>
      <a:bevelT w="190500" h="38100"/>
    </a:sp3d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334240</xdr:colOff>
      <xdr:row>18</xdr:row>
      <xdr:rowOff>180976</xdr:rowOff>
    </xdr:from>
    <xdr:to>
      <xdr:col>15</xdr:col>
      <xdr:colOff>1468581</xdr:colOff>
      <xdr:row>19</xdr:row>
      <xdr:rowOff>1133475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10</xdr:col>
      <xdr:colOff>432954</xdr:colOff>
      <xdr:row>13</xdr:row>
      <xdr:rowOff>57150</xdr:rowOff>
    </xdr:from>
    <xdr:ext cx="5109784" cy="4472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 txBox="1"/>
          </xdr:nvSpPr>
          <xdr:spPr>
            <a:xfrm>
              <a:off x="8529204" y="2581275"/>
              <a:ext cx="5109784" cy="4472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s-PE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𝐶𝑎𝑟𝑡𝑒𝑟𝑎𝑠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𝑣𝑒𝑛𝑐𝑖𝑑𝑎𝑠</m:t>
                        </m:r>
                      </m:num>
                      <m:den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𝑇𝑜𝑡𝑎𝑙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𝑑𝑒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𝑐𝑎𝑟𝑡𝑒𝑟𝑎𝑠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 (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𝑐𝑙𝑖𝑒𝑛𝑡𝑒𝑠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)</m:t>
                        </m:r>
                      </m:den>
                    </m:f>
                    <m:r>
                      <a:rPr lang="es-E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ES" sz="14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s-ES" sz="1400" b="0" i="1">
                        <a:latin typeface="Cambria Math" panose="02040503050406030204" pitchFamily="18" charset="0"/>
                      </a:rPr>
                      <m:t> 100</m:t>
                    </m:r>
                  </m:oMath>
                </m:oMathPara>
              </a14:m>
              <a:endParaRPr lang="es-PE" sz="1400" i="0"/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 txBox="1"/>
          </xdr:nvSpPr>
          <xdr:spPr>
            <a:xfrm>
              <a:off x="8529204" y="2581275"/>
              <a:ext cx="5109784" cy="4472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PE" sz="1400" b="0" i="0">
                  <a:latin typeface="Cambria Math" panose="02040503050406030204" pitchFamily="18" charset="0"/>
                </a:rPr>
                <a:t>(</a:t>
              </a:r>
              <a:r>
                <a:rPr lang="es-ES" sz="1400" b="0" i="0">
                  <a:latin typeface="Cambria Math" panose="02040503050406030204" pitchFamily="18" charset="0"/>
                </a:rPr>
                <a:t>𝐶𝑎𝑟𝑡𝑒𝑟𝑎𝑠 𝑣𝑒𝑛𝑐𝑖𝑑𝑎𝑠</a:t>
              </a:r>
              <a:r>
                <a:rPr lang="es-PE" sz="1400" b="0" i="0">
                  <a:latin typeface="Cambria Math" panose="02040503050406030204" pitchFamily="18" charset="0"/>
                </a:rPr>
                <a:t>)/(</a:t>
              </a:r>
              <a:r>
                <a:rPr lang="es-ES" sz="1400" b="0" i="0">
                  <a:latin typeface="Cambria Math" panose="02040503050406030204" pitchFamily="18" charset="0"/>
                </a:rPr>
                <a:t>𝑇𝑜𝑡𝑎𝑙 𝑑𝑒 𝑐𝑎𝑟𝑡𝑒𝑟𝑎𝑠 (𝑐𝑙𝑖𝑒𝑛𝑡𝑒𝑠)</a:t>
              </a:r>
              <a:r>
                <a:rPr lang="es-PE" sz="1400" b="0" i="0">
                  <a:latin typeface="Cambria Math" panose="02040503050406030204" pitchFamily="18" charset="0"/>
                </a:rPr>
                <a:t>)</a:t>
              </a:r>
              <a:r>
                <a:rPr lang="es-ES" sz="1400" b="0" i="0">
                  <a:latin typeface="Cambria Math" panose="02040503050406030204" pitchFamily="18" charset="0"/>
                </a:rPr>
                <a:t>  𝑥 100</a:t>
              </a:r>
              <a:endParaRPr lang="es-PE" sz="1400" i="0"/>
            </a:p>
          </xdr:txBody>
        </xdr:sp>
      </mc:Fallback>
    </mc:AlternateContent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  <pageSetUpPr fitToPage="1"/>
  </sheetPr>
  <dimension ref="A1:AE58"/>
  <sheetViews>
    <sheetView showGridLines="0" tabSelected="1" view="pageBreakPreview" zoomScaleNormal="40" zoomScaleSheetLayoutView="100" workbookViewId="0">
      <selection activeCell="L23" sqref="L23"/>
    </sheetView>
  </sheetViews>
  <sheetFormatPr baseColWidth="10" defaultRowHeight="15" x14ac:dyDescent="0.25"/>
  <cols>
    <col min="1" max="1" width="3.28515625" style="5" customWidth="1"/>
    <col min="2" max="2" width="10.5703125" customWidth="1"/>
    <col min="3" max="3" width="11.5703125" customWidth="1"/>
    <col min="4" max="15" width="13.7109375" customWidth="1"/>
    <col min="16" max="16" width="26.28515625" customWidth="1"/>
    <col min="17" max="17" width="2.28515625" style="5" customWidth="1"/>
  </cols>
  <sheetData>
    <row r="1" spans="1:31" s="1" customFormat="1" ht="18.75" x14ac:dyDescent="0.3">
      <c r="A1" s="2"/>
      <c r="B1" s="6"/>
      <c r="C1" s="6"/>
      <c r="D1" s="6"/>
      <c r="E1" s="6"/>
      <c r="F1" s="6"/>
      <c r="G1" s="2"/>
      <c r="H1" s="2"/>
      <c r="I1" s="2"/>
      <c r="J1" s="2"/>
      <c r="K1" s="2"/>
      <c r="L1" s="2"/>
      <c r="M1" s="2"/>
      <c r="N1" s="2"/>
      <c r="O1" s="2"/>
      <c r="P1" s="2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s="1" customFormat="1" ht="12" customHeight="1" x14ac:dyDescent="0.3">
      <c r="A2" s="2"/>
      <c r="B2" s="113" t="e" vm="1">
        <v>#VALUE!</v>
      </c>
      <c r="C2" s="114"/>
      <c r="D2" s="115"/>
      <c r="E2" s="104" t="s">
        <v>9</v>
      </c>
      <c r="F2" s="104"/>
      <c r="G2" s="104"/>
      <c r="H2" s="104"/>
      <c r="I2" s="104"/>
      <c r="J2" s="104"/>
      <c r="K2" s="104"/>
      <c r="L2" s="104"/>
      <c r="M2" s="104"/>
      <c r="N2" s="105" t="s">
        <v>24</v>
      </c>
      <c r="O2" s="105"/>
      <c r="P2" s="14" t="s">
        <v>11</v>
      </c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s="1" customFormat="1" ht="12" customHeight="1" x14ac:dyDescent="0.3">
      <c r="A3" s="2"/>
      <c r="B3" s="116"/>
      <c r="C3" s="117"/>
      <c r="D3" s="118"/>
      <c r="E3" s="104"/>
      <c r="F3" s="104"/>
      <c r="G3" s="104"/>
      <c r="H3" s="104"/>
      <c r="I3" s="104"/>
      <c r="J3" s="104"/>
      <c r="K3" s="104"/>
      <c r="L3" s="104"/>
      <c r="M3" s="104"/>
      <c r="N3" s="111" t="s">
        <v>25</v>
      </c>
      <c r="O3" s="112"/>
      <c r="P3" s="14" t="s">
        <v>26</v>
      </c>
      <c r="Q3" s="2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 spans="1:31" s="1" customFormat="1" ht="12" customHeight="1" x14ac:dyDescent="0.3">
      <c r="A4" s="2"/>
      <c r="B4" s="116"/>
      <c r="C4" s="117"/>
      <c r="D4" s="118"/>
      <c r="E4" s="104"/>
      <c r="F4" s="104"/>
      <c r="G4" s="104"/>
      <c r="H4" s="104"/>
      <c r="I4" s="104"/>
      <c r="J4" s="104"/>
      <c r="K4" s="104"/>
      <c r="L4" s="104"/>
      <c r="M4" s="104"/>
      <c r="N4" s="111" t="s">
        <v>27</v>
      </c>
      <c r="O4" s="112"/>
      <c r="P4" s="15">
        <v>46079</v>
      </c>
      <c r="Q4" s="2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  <row r="5" spans="1:31" s="1" customFormat="1" ht="12" customHeight="1" x14ac:dyDescent="0.3">
      <c r="A5" s="2"/>
      <c r="B5" s="116"/>
      <c r="C5" s="117"/>
      <c r="D5" s="118"/>
      <c r="E5" s="104"/>
      <c r="F5" s="104"/>
      <c r="G5" s="104"/>
      <c r="H5" s="104"/>
      <c r="I5" s="104"/>
      <c r="J5" s="104"/>
      <c r="K5" s="104"/>
      <c r="L5" s="104"/>
      <c r="M5" s="104"/>
      <c r="N5" s="111" t="s">
        <v>30</v>
      </c>
      <c r="O5" s="112"/>
      <c r="P5" s="14" t="s">
        <v>31</v>
      </c>
      <c r="Q5" s="2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 spans="1:31" s="1" customFormat="1" ht="12" customHeight="1" x14ac:dyDescent="0.3">
      <c r="A6" s="2"/>
      <c r="B6" s="119"/>
      <c r="C6" s="120"/>
      <c r="D6" s="121"/>
      <c r="E6" s="104"/>
      <c r="F6" s="104"/>
      <c r="G6" s="104"/>
      <c r="H6" s="104"/>
      <c r="I6" s="104"/>
      <c r="J6" s="104"/>
      <c r="K6" s="104"/>
      <c r="L6" s="104"/>
      <c r="M6" s="104"/>
      <c r="N6" s="111" t="s">
        <v>28</v>
      </c>
      <c r="O6" s="112"/>
      <c r="P6" s="14" t="s">
        <v>29</v>
      </c>
      <c r="Q6" s="2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 spans="1:31" s="1" customFormat="1" ht="11.25" customHeight="1" x14ac:dyDescent="0.3">
      <c r="A7" s="2"/>
      <c r="B7" s="6"/>
      <c r="C7" s="6"/>
      <c r="D7" s="7"/>
      <c r="E7" s="6"/>
      <c r="F7" s="6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 spans="1:31" s="1" customFormat="1" ht="24.95" customHeight="1" x14ac:dyDescent="0.3">
      <c r="A8" s="2"/>
      <c r="B8" s="106" t="s">
        <v>2</v>
      </c>
      <c r="C8" s="107"/>
      <c r="D8" s="108"/>
      <c r="E8" s="109" t="s">
        <v>51</v>
      </c>
      <c r="F8" s="109"/>
      <c r="G8" s="109"/>
      <c r="H8" s="109"/>
      <c r="I8" s="109"/>
      <c r="J8" s="109"/>
      <c r="K8" s="109"/>
      <c r="L8" s="109"/>
      <c r="M8" s="90" t="s">
        <v>7</v>
      </c>
      <c r="N8" s="90"/>
      <c r="O8" s="110">
        <v>46023</v>
      </c>
      <c r="P8" s="110"/>
      <c r="Q8" s="2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 spans="1:31" s="1" customFormat="1" ht="9.9499999999999993" customHeight="1" x14ac:dyDescent="0.3">
      <c r="A9" s="2"/>
      <c r="B9" s="30"/>
      <c r="C9" s="30"/>
      <c r="D9" s="30"/>
      <c r="E9" s="36"/>
      <c r="F9" s="36"/>
      <c r="G9" s="36"/>
      <c r="H9" s="36"/>
      <c r="I9" s="36"/>
      <c r="J9" s="36"/>
      <c r="K9" s="36"/>
      <c r="L9" s="37"/>
      <c r="M9" s="30"/>
      <c r="N9" s="31"/>
      <c r="O9" s="36"/>
      <c r="P9" s="36"/>
      <c r="Q9" s="2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 spans="1:31" s="1" customFormat="1" ht="24.95" customHeight="1" x14ac:dyDescent="0.3">
      <c r="A10" s="2"/>
      <c r="B10" s="86" t="s">
        <v>6</v>
      </c>
      <c r="C10" s="87"/>
      <c r="D10" s="88"/>
      <c r="E10" s="89" t="s">
        <v>52</v>
      </c>
      <c r="F10" s="89"/>
      <c r="G10" s="89"/>
      <c r="H10" s="89"/>
      <c r="I10" s="89"/>
      <c r="J10" s="89"/>
      <c r="K10" s="89"/>
      <c r="L10" s="89"/>
      <c r="M10" s="90" t="s">
        <v>46</v>
      </c>
      <c r="N10" s="90"/>
      <c r="O10" s="91">
        <v>46357</v>
      </c>
      <c r="P10" s="91"/>
      <c r="Q10" s="2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 spans="1:31" s="2" customFormat="1" ht="9.9499999999999993" customHeight="1" x14ac:dyDescent="0.3">
      <c r="B11" s="34"/>
      <c r="C11" s="34"/>
      <c r="D11" s="34"/>
      <c r="E11" s="34"/>
      <c r="F11" s="34"/>
      <c r="G11" s="34"/>
      <c r="H11" s="32"/>
      <c r="I11" s="32"/>
      <c r="J11" s="32"/>
      <c r="K11" s="32"/>
      <c r="L11" s="38"/>
      <c r="M11" s="32"/>
      <c r="N11" s="33"/>
      <c r="O11" s="32"/>
      <c r="P11" s="3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</row>
    <row r="12" spans="1:31" s="1" customFormat="1" ht="30" customHeight="1" x14ac:dyDescent="0.3">
      <c r="A12" s="2"/>
      <c r="B12" s="125" t="s">
        <v>0</v>
      </c>
      <c r="C12" s="125"/>
      <c r="D12" s="125"/>
      <c r="E12" s="99" t="s">
        <v>53</v>
      </c>
      <c r="F12" s="99"/>
      <c r="G12" s="99"/>
      <c r="H12" s="99"/>
      <c r="I12" s="90" t="s">
        <v>3</v>
      </c>
      <c r="J12" s="90"/>
      <c r="K12" s="51" t="s">
        <v>48</v>
      </c>
      <c r="L12" s="50">
        <v>0.1</v>
      </c>
      <c r="M12" s="90" t="s">
        <v>8</v>
      </c>
      <c r="N12" s="90"/>
      <c r="O12" s="99" t="s">
        <v>45</v>
      </c>
      <c r="P12" s="99"/>
      <c r="Q12" s="2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 spans="1:31" s="2" customFormat="1" ht="9.9499999999999993" customHeight="1" x14ac:dyDescent="0.3">
      <c r="B13" s="35"/>
      <c r="C13" s="35"/>
      <c r="D13" s="35"/>
      <c r="E13" s="32"/>
      <c r="F13" s="32"/>
      <c r="G13" s="32"/>
      <c r="H13" s="39"/>
      <c r="I13" s="40"/>
      <c r="J13" s="41"/>
      <c r="K13" s="41"/>
      <c r="L13" s="39"/>
      <c r="M13" s="42"/>
      <c r="N13" s="32"/>
      <c r="O13" s="32"/>
      <c r="P13" s="3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</row>
    <row r="14" spans="1:31" s="1" customFormat="1" ht="44.25" customHeight="1" x14ac:dyDescent="0.3">
      <c r="A14" s="2"/>
      <c r="B14" s="100" t="s">
        <v>12</v>
      </c>
      <c r="C14" s="100"/>
      <c r="D14" s="100"/>
      <c r="E14" s="101" t="s">
        <v>54</v>
      </c>
      <c r="F14" s="102"/>
      <c r="G14" s="102"/>
      <c r="H14" s="103"/>
      <c r="I14" s="86" t="s">
        <v>13</v>
      </c>
      <c r="J14" s="88"/>
      <c r="K14" s="122"/>
      <c r="L14" s="123"/>
      <c r="M14" s="123"/>
      <c r="N14" s="123"/>
      <c r="O14" s="123"/>
      <c r="P14" s="124"/>
      <c r="Q14" s="2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 spans="1:31" s="1" customFormat="1" ht="11.25" customHeight="1" x14ac:dyDescent="0.3">
      <c r="A15" s="2"/>
      <c r="B15" s="6"/>
      <c r="C15" s="6"/>
      <c r="D15" s="7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 spans="1:31" ht="27" customHeight="1" x14ac:dyDescent="0.25">
      <c r="B16" s="94" t="s">
        <v>4</v>
      </c>
      <c r="C16" s="94"/>
      <c r="D16" s="94"/>
      <c r="E16" s="131" t="s">
        <v>49</v>
      </c>
      <c r="F16" s="132"/>
      <c r="G16" s="43">
        <f>L12</f>
        <v>0.1</v>
      </c>
      <c r="H16" s="44"/>
      <c r="I16" s="45"/>
      <c r="J16" s="95"/>
      <c r="K16" s="96"/>
      <c r="L16" s="46"/>
      <c r="M16" s="47"/>
      <c r="N16" s="48">
        <f>L12</f>
        <v>0.1</v>
      </c>
      <c r="O16" s="133" t="s">
        <v>50</v>
      </c>
      <c r="P16" s="134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</row>
    <row r="17" spans="1:31" s="1" customFormat="1" ht="9.9499999999999993" customHeight="1" x14ac:dyDescent="0.3">
      <c r="A17" s="2"/>
      <c r="B17" s="8"/>
      <c r="C17" s="8"/>
      <c r="D17" s="8"/>
      <c r="E17" s="9"/>
      <c r="F17" s="9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 spans="1:31" s="1" customFormat="1" ht="18.75" x14ac:dyDescent="0.3">
      <c r="A18" s="2"/>
      <c r="B18" s="97" t="s">
        <v>5</v>
      </c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2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 spans="1:31" s="1" customFormat="1" ht="299.25" customHeight="1" x14ac:dyDescent="0.3">
      <c r="A19" s="2"/>
      <c r="B19" s="98"/>
      <c r="C19" s="98"/>
      <c r="D19" s="98"/>
      <c r="E19" s="9"/>
      <c r="F19" s="9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11"/>
      <c r="S19" s="13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 spans="1:31" s="1" customFormat="1" ht="107.25" customHeight="1" x14ac:dyDescent="0.3">
      <c r="A20" s="2"/>
      <c r="B20" s="10"/>
      <c r="C20" s="10"/>
      <c r="D20" s="10"/>
      <c r="E20" s="9"/>
      <c r="F20" s="9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 spans="1:31" s="3" customFormat="1" ht="15.75" x14ac:dyDescent="0.25">
      <c r="A21" s="4"/>
      <c r="D21" s="17" t="s">
        <v>33</v>
      </c>
      <c r="E21" s="17" t="s">
        <v>34</v>
      </c>
      <c r="F21" s="17" t="s">
        <v>35</v>
      </c>
      <c r="G21" s="17" t="s">
        <v>36</v>
      </c>
      <c r="H21" s="17" t="s">
        <v>37</v>
      </c>
      <c r="I21" s="17" t="s">
        <v>38</v>
      </c>
      <c r="J21" s="17" t="s">
        <v>39</v>
      </c>
      <c r="K21" s="17" t="s">
        <v>40</v>
      </c>
      <c r="L21" s="17" t="s">
        <v>41</v>
      </c>
      <c r="M21" s="17" t="s">
        <v>42</v>
      </c>
      <c r="N21" s="17" t="s">
        <v>43</v>
      </c>
      <c r="O21" s="17" t="s">
        <v>44</v>
      </c>
      <c r="P21" s="18" t="s">
        <v>10</v>
      </c>
      <c r="Q21" s="4"/>
    </row>
    <row r="22" spans="1:31" s="3" customFormat="1" ht="30" customHeight="1" x14ac:dyDescent="0.25">
      <c r="A22" s="4"/>
      <c r="B22" s="92" t="s">
        <v>22</v>
      </c>
      <c r="C22" s="93"/>
      <c r="D22" s="19"/>
      <c r="E22" s="19"/>
      <c r="F22" s="19"/>
      <c r="G22" s="20"/>
      <c r="H22" s="19"/>
      <c r="I22" s="19"/>
      <c r="J22" s="19"/>
      <c r="K22" s="19"/>
      <c r="L22" s="21"/>
      <c r="M22" s="19"/>
      <c r="N22" s="19"/>
      <c r="O22" s="19"/>
      <c r="P22" s="22" t="e">
        <f>AVERAGE(D22:O22)</f>
        <v>#DIV/0!</v>
      </c>
      <c r="Q22" s="4"/>
    </row>
    <row r="23" spans="1:31" s="3" customFormat="1" ht="30" customHeight="1" x14ac:dyDescent="0.25">
      <c r="A23" s="4"/>
      <c r="B23" s="92" t="s">
        <v>23</v>
      </c>
      <c r="C23" s="93"/>
      <c r="D23" s="19"/>
      <c r="E23" s="19"/>
      <c r="F23" s="19"/>
      <c r="G23" s="23"/>
      <c r="H23" s="23"/>
      <c r="I23" s="23"/>
      <c r="J23" s="23"/>
      <c r="K23" s="23"/>
      <c r="L23" s="23"/>
      <c r="M23" s="23"/>
      <c r="N23" s="23"/>
      <c r="O23" s="23"/>
      <c r="P23" s="22" t="e">
        <f>AVERAGE(D23:O23)</f>
        <v>#DIV/0!</v>
      </c>
      <c r="Q23" s="4"/>
    </row>
    <row r="24" spans="1:31" s="3" customFormat="1" ht="30" customHeight="1" x14ac:dyDescent="0.25">
      <c r="A24" s="4"/>
      <c r="B24" s="92" t="s">
        <v>47</v>
      </c>
      <c r="C24" s="93"/>
      <c r="D24" s="24" t="str">
        <f>IFERROR(D22/D23,"")</f>
        <v/>
      </c>
      <c r="E24" s="24" t="str">
        <f t="shared" ref="E24:P24" si="0">IFERROR(E22/E23,"")</f>
        <v/>
      </c>
      <c r="F24" s="24" t="str">
        <f t="shared" si="0"/>
        <v/>
      </c>
      <c r="G24" s="24" t="str">
        <f t="shared" si="0"/>
        <v/>
      </c>
      <c r="H24" s="24" t="str">
        <f t="shared" si="0"/>
        <v/>
      </c>
      <c r="I24" s="24" t="str">
        <f t="shared" si="0"/>
        <v/>
      </c>
      <c r="J24" s="24" t="str">
        <f t="shared" si="0"/>
        <v/>
      </c>
      <c r="K24" s="24" t="str">
        <f t="shared" si="0"/>
        <v/>
      </c>
      <c r="L24" s="24" t="str">
        <f t="shared" si="0"/>
        <v/>
      </c>
      <c r="M24" s="24" t="str">
        <f t="shared" si="0"/>
        <v/>
      </c>
      <c r="N24" s="24" t="str">
        <f t="shared" si="0"/>
        <v/>
      </c>
      <c r="O24" s="24" t="str">
        <f t="shared" si="0"/>
        <v/>
      </c>
      <c r="P24" s="24" t="str">
        <f t="shared" si="0"/>
        <v/>
      </c>
      <c r="Q24" s="4"/>
    </row>
    <row r="25" spans="1:31" s="3" customFormat="1" ht="30" customHeight="1" x14ac:dyDescent="0.25">
      <c r="A25" s="4"/>
      <c r="B25" s="92" t="s">
        <v>3</v>
      </c>
      <c r="C25" s="93"/>
      <c r="D25" s="25">
        <f>$L$12</f>
        <v>0.1</v>
      </c>
      <c r="E25" s="25">
        <f t="shared" ref="E25:P25" si="1">$L$12</f>
        <v>0.1</v>
      </c>
      <c r="F25" s="25">
        <f t="shared" si="1"/>
        <v>0.1</v>
      </c>
      <c r="G25" s="25">
        <f t="shared" si="1"/>
        <v>0.1</v>
      </c>
      <c r="H25" s="25">
        <f t="shared" si="1"/>
        <v>0.1</v>
      </c>
      <c r="I25" s="25">
        <f t="shared" si="1"/>
        <v>0.1</v>
      </c>
      <c r="J25" s="25">
        <f t="shared" si="1"/>
        <v>0.1</v>
      </c>
      <c r="K25" s="25">
        <f t="shared" si="1"/>
        <v>0.1</v>
      </c>
      <c r="L25" s="25">
        <f t="shared" si="1"/>
        <v>0.1</v>
      </c>
      <c r="M25" s="25">
        <f t="shared" si="1"/>
        <v>0.1</v>
      </c>
      <c r="N25" s="25">
        <f t="shared" si="1"/>
        <v>0.1</v>
      </c>
      <c r="O25" s="25">
        <f t="shared" si="1"/>
        <v>0.1</v>
      </c>
      <c r="P25" s="25">
        <f t="shared" si="1"/>
        <v>0.1</v>
      </c>
      <c r="Q25" s="4"/>
    </row>
    <row r="26" spans="1:31" s="3" customFormat="1" ht="27" customHeight="1" x14ac:dyDescent="0.25">
      <c r="A26" s="4"/>
      <c r="B26" s="53" t="s">
        <v>14</v>
      </c>
      <c r="C26" s="54"/>
      <c r="D26" s="54"/>
      <c r="E26" s="54"/>
      <c r="F26" s="55"/>
      <c r="G26" s="56" t="s">
        <v>21</v>
      </c>
      <c r="H26" s="57"/>
      <c r="I26" s="57"/>
      <c r="J26" s="57"/>
      <c r="K26" s="57"/>
      <c r="L26" s="57"/>
      <c r="M26" s="57"/>
      <c r="N26" s="57"/>
      <c r="O26" s="57"/>
      <c r="P26" s="58"/>
      <c r="Q26" s="4"/>
    </row>
    <row r="27" spans="1:31" s="3" customFormat="1" ht="15" customHeight="1" x14ac:dyDescent="0.25">
      <c r="A27" s="4"/>
      <c r="B27" s="26"/>
      <c r="C27" s="26"/>
      <c r="D27" s="27"/>
      <c r="E27" s="27"/>
      <c r="F27" s="27"/>
      <c r="G27" s="27"/>
      <c r="H27" s="27"/>
      <c r="I27" s="28"/>
      <c r="J27" s="28"/>
      <c r="K27" s="28"/>
      <c r="L27" s="28"/>
      <c r="M27" s="28"/>
      <c r="N27" s="28"/>
      <c r="O27" s="28"/>
      <c r="P27" s="28"/>
      <c r="Q27" s="4"/>
    </row>
    <row r="28" spans="1:31" s="3" customFormat="1" ht="34.5" customHeight="1" x14ac:dyDescent="0.25">
      <c r="A28" s="4"/>
      <c r="B28" s="59" t="s">
        <v>15</v>
      </c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1"/>
      <c r="Q28" s="4"/>
    </row>
    <row r="29" spans="1:31" s="3" customFormat="1" ht="27.75" customHeight="1" x14ac:dyDescent="0.25">
      <c r="A29" s="4"/>
      <c r="B29" s="63" t="s">
        <v>32</v>
      </c>
      <c r="C29" s="64"/>
      <c r="D29" s="64"/>
      <c r="E29" s="64"/>
      <c r="F29" s="64"/>
      <c r="G29" s="65"/>
      <c r="H29" s="72"/>
      <c r="I29" s="72"/>
      <c r="J29" s="72"/>
      <c r="K29" s="72"/>
      <c r="L29" s="72"/>
      <c r="M29" s="72"/>
      <c r="N29" s="72"/>
      <c r="O29" s="72"/>
      <c r="P29" s="73"/>
      <c r="Q29" s="4"/>
    </row>
    <row r="30" spans="1:31" s="3" customFormat="1" ht="27.75" customHeight="1" x14ac:dyDescent="0.25">
      <c r="A30" s="4"/>
      <c r="B30" s="66"/>
      <c r="C30" s="67"/>
      <c r="D30" s="67"/>
      <c r="E30" s="67"/>
      <c r="F30" s="67"/>
      <c r="G30" s="68"/>
      <c r="H30" s="74"/>
      <c r="I30" s="74"/>
      <c r="J30" s="74"/>
      <c r="K30" s="74"/>
      <c r="L30" s="74"/>
      <c r="M30" s="74"/>
      <c r="N30" s="74"/>
      <c r="O30" s="74"/>
      <c r="P30" s="75"/>
      <c r="Q30" s="4"/>
    </row>
    <row r="31" spans="1:31" s="3" customFormat="1" ht="27.75" customHeight="1" x14ac:dyDescent="0.25">
      <c r="A31" s="4"/>
      <c r="B31" s="66"/>
      <c r="C31" s="67"/>
      <c r="D31" s="67"/>
      <c r="E31" s="67"/>
      <c r="F31" s="67"/>
      <c r="G31" s="68"/>
      <c r="H31" s="74"/>
      <c r="I31" s="74"/>
      <c r="J31" s="74"/>
      <c r="K31" s="74"/>
      <c r="L31" s="74"/>
      <c r="M31" s="74"/>
      <c r="N31" s="74"/>
      <c r="O31" s="74"/>
      <c r="P31" s="75"/>
      <c r="Q31" s="4"/>
    </row>
    <row r="32" spans="1:31" s="3" customFormat="1" ht="27.75" customHeight="1" x14ac:dyDescent="0.25">
      <c r="A32" s="4"/>
      <c r="B32" s="66"/>
      <c r="C32" s="67"/>
      <c r="D32" s="67"/>
      <c r="E32" s="67"/>
      <c r="F32" s="67"/>
      <c r="G32" s="68"/>
      <c r="H32" s="74"/>
      <c r="I32" s="74"/>
      <c r="J32" s="74"/>
      <c r="K32" s="74"/>
      <c r="L32" s="74"/>
      <c r="M32" s="74"/>
      <c r="N32" s="74"/>
      <c r="O32" s="74"/>
      <c r="P32" s="75"/>
      <c r="Q32" s="4"/>
    </row>
    <row r="33" spans="1:17" s="3" customFormat="1" ht="27.75" customHeight="1" x14ac:dyDescent="0.25">
      <c r="A33" s="4"/>
      <c r="B33" s="66"/>
      <c r="C33" s="67"/>
      <c r="D33" s="67"/>
      <c r="E33" s="67"/>
      <c r="F33" s="67"/>
      <c r="G33" s="68"/>
      <c r="H33" s="74"/>
      <c r="I33" s="74"/>
      <c r="J33" s="74"/>
      <c r="K33" s="74"/>
      <c r="L33" s="74"/>
      <c r="M33" s="74"/>
      <c r="N33" s="74"/>
      <c r="O33" s="74"/>
      <c r="P33" s="75"/>
      <c r="Q33" s="4"/>
    </row>
    <row r="34" spans="1:17" s="3" customFormat="1" ht="15.75" x14ac:dyDescent="0.25">
      <c r="A34" s="4"/>
      <c r="B34" s="69"/>
      <c r="C34" s="70"/>
      <c r="D34" s="70"/>
      <c r="E34" s="70"/>
      <c r="F34" s="70"/>
      <c r="G34" s="71"/>
      <c r="H34" s="76"/>
      <c r="I34" s="77"/>
      <c r="J34" s="77"/>
      <c r="K34" s="77"/>
      <c r="L34" s="77"/>
      <c r="M34" s="77"/>
      <c r="N34" s="77"/>
      <c r="O34" s="77"/>
      <c r="P34" s="78"/>
      <c r="Q34" s="4"/>
    </row>
    <row r="35" spans="1:17" s="3" customFormat="1" ht="15" customHeight="1" x14ac:dyDescent="0.25">
      <c r="A35" s="4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4"/>
    </row>
    <row r="36" spans="1:17" s="3" customFormat="1" ht="37.5" customHeight="1" x14ac:dyDescent="0.25">
      <c r="A36" s="4"/>
      <c r="B36" s="59" t="s">
        <v>16</v>
      </c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1"/>
      <c r="Q36" s="4"/>
    </row>
    <row r="37" spans="1:17" s="3" customFormat="1" ht="39.75" customHeight="1" x14ac:dyDescent="0.25">
      <c r="A37" s="4"/>
      <c r="B37" s="80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2"/>
      <c r="Q37" s="4"/>
    </row>
    <row r="38" spans="1:17" s="3" customFormat="1" ht="39.75" customHeight="1" x14ac:dyDescent="0.25">
      <c r="A38" s="4"/>
      <c r="B38" s="135" t="s">
        <v>17</v>
      </c>
      <c r="C38" s="136"/>
      <c r="D38" s="136"/>
      <c r="E38" s="136"/>
      <c r="F38" s="136"/>
      <c r="G38" s="136"/>
      <c r="H38" s="137"/>
      <c r="I38" s="135" t="s">
        <v>18</v>
      </c>
      <c r="J38" s="136"/>
      <c r="K38" s="137"/>
      <c r="L38" s="135" t="s">
        <v>19</v>
      </c>
      <c r="M38" s="137"/>
      <c r="N38" s="135" t="s">
        <v>20</v>
      </c>
      <c r="O38" s="136"/>
      <c r="P38" s="137"/>
      <c r="Q38" s="4"/>
    </row>
    <row r="39" spans="1:17" s="3" customFormat="1" ht="39.75" customHeight="1" x14ac:dyDescent="0.25">
      <c r="A39" s="4"/>
      <c r="B39" s="83"/>
      <c r="C39" s="84"/>
      <c r="D39" s="84"/>
      <c r="E39" s="84"/>
      <c r="F39" s="84"/>
      <c r="G39" s="84"/>
      <c r="H39" s="85"/>
      <c r="I39" s="83"/>
      <c r="J39" s="84"/>
      <c r="K39" s="85"/>
      <c r="L39" s="126"/>
      <c r="M39" s="127"/>
      <c r="N39" s="128"/>
      <c r="O39" s="129"/>
      <c r="P39" s="130"/>
      <c r="Q39" s="4"/>
    </row>
    <row r="40" spans="1:17" s="3" customFormat="1" ht="39.75" customHeight="1" x14ac:dyDescent="0.25">
      <c r="A40" s="4"/>
      <c r="B40" s="83"/>
      <c r="C40" s="84"/>
      <c r="D40" s="84"/>
      <c r="E40" s="84"/>
      <c r="F40" s="84"/>
      <c r="G40" s="84"/>
      <c r="H40" s="85"/>
      <c r="I40" s="83"/>
      <c r="J40" s="84"/>
      <c r="K40" s="85"/>
      <c r="L40" s="126"/>
      <c r="M40" s="127"/>
      <c r="N40" s="128"/>
      <c r="O40" s="129"/>
      <c r="P40" s="130"/>
      <c r="Q40" s="4"/>
    </row>
    <row r="41" spans="1:17" s="3" customFormat="1" ht="39.75" customHeight="1" x14ac:dyDescent="0.25">
      <c r="A41" s="4"/>
      <c r="B41" s="83"/>
      <c r="C41" s="84"/>
      <c r="D41" s="84"/>
      <c r="E41" s="84"/>
      <c r="F41" s="84"/>
      <c r="G41" s="84"/>
      <c r="H41" s="85"/>
      <c r="I41" s="83"/>
      <c r="J41" s="84"/>
      <c r="K41" s="85"/>
      <c r="L41" s="126"/>
      <c r="M41" s="127"/>
      <c r="N41" s="128"/>
      <c r="O41" s="129"/>
      <c r="P41" s="130"/>
      <c r="Q41" s="4"/>
    </row>
    <row r="42" spans="1:17" s="3" customFormat="1" ht="15" customHeight="1" x14ac:dyDescent="0.25">
      <c r="A42" s="4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4"/>
    </row>
    <row r="43" spans="1:17" s="3" customFormat="1" ht="15.75" x14ac:dyDescent="0.25">
      <c r="A43" s="4"/>
      <c r="B43" s="4"/>
      <c r="C43" s="16"/>
      <c r="D43" s="16"/>
      <c r="E43" s="16"/>
      <c r="F43" s="16"/>
      <c r="G43" s="4"/>
      <c r="H43" s="4"/>
      <c r="J43" s="4"/>
      <c r="K43" s="16" t="s">
        <v>1</v>
      </c>
      <c r="L43" s="4"/>
      <c r="M43" s="4"/>
      <c r="N43" s="4"/>
      <c r="O43" s="4"/>
      <c r="P43" s="4"/>
    </row>
    <row r="44" spans="1:17" s="3" customFormat="1" ht="15.75" x14ac:dyDescent="0.25">
      <c r="A44" s="4"/>
      <c r="B44" s="16"/>
      <c r="C44" s="16"/>
      <c r="D44" s="4"/>
      <c r="E44" s="16"/>
      <c r="F44" s="16"/>
      <c r="G44" s="4"/>
      <c r="H44" s="4"/>
      <c r="I44" s="4"/>
      <c r="J44" s="4"/>
      <c r="K44" s="4"/>
      <c r="L44" s="62" t="s">
        <v>56</v>
      </c>
      <c r="M44" s="62"/>
      <c r="N44" s="62"/>
      <c r="O44" s="4"/>
      <c r="P44" s="4"/>
    </row>
    <row r="45" spans="1:17" s="3" customFormat="1" ht="15.75" x14ac:dyDescent="0.25">
      <c r="A45" s="4"/>
      <c r="B45" s="16"/>
      <c r="C45" s="16"/>
      <c r="D45" s="4"/>
      <c r="E45" s="16"/>
      <c r="F45" s="16"/>
      <c r="G45" s="4"/>
      <c r="H45" s="4"/>
      <c r="I45" s="4"/>
      <c r="J45" s="4"/>
      <c r="K45" s="4"/>
      <c r="L45" s="52" t="s">
        <v>55</v>
      </c>
      <c r="M45" s="52"/>
      <c r="N45" s="52"/>
      <c r="O45" s="4"/>
      <c r="P45" s="4"/>
    </row>
    <row r="46" spans="1:17" s="4" customFormat="1" ht="15.75" x14ac:dyDescent="0.25"/>
    <row r="58" spans="1:17" s="1" customFormat="1" ht="56.25" customHeight="1" x14ac:dyDescent="0.3">
      <c r="A58" s="2"/>
      <c r="Q58" s="2"/>
    </row>
  </sheetData>
  <mergeCells count="65">
    <mergeCell ref="E16:F16"/>
    <mergeCell ref="O16:P16"/>
    <mergeCell ref="B38:H38"/>
    <mergeCell ref="I38:K38"/>
    <mergeCell ref="L38:M38"/>
    <mergeCell ref="N38:P38"/>
    <mergeCell ref="I41:K41"/>
    <mergeCell ref="L41:M41"/>
    <mergeCell ref="N41:P41"/>
    <mergeCell ref="B39:H39"/>
    <mergeCell ref="I39:K39"/>
    <mergeCell ref="L39:M39"/>
    <mergeCell ref="N39:P39"/>
    <mergeCell ref="B40:H40"/>
    <mergeCell ref="I40:K40"/>
    <mergeCell ref="L40:M40"/>
    <mergeCell ref="N40:P40"/>
    <mergeCell ref="K14:P14"/>
    <mergeCell ref="B12:D12"/>
    <mergeCell ref="E12:H12"/>
    <mergeCell ref="I12:J12"/>
    <mergeCell ref="M12:N12"/>
    <mergeCell ref="E2:M6"/>
    <mergeCell ref="N2:O2"/>
    <mergeCell ref="B8:D8"/>
    <mergeCell ref="E8:L8"/>
    <mergeCell ref="M8:N8"/>
    <mergeCell ref="O8:P8"/>
    <mergeCell ref="N3:O3"/>
    <mergeCell ref="N6:O6"/>
    <mergeCell ref="N4:O4"/>
    <mergeCell ref="N5:O5"/>
    <mergeCell ref="B2:D6"/>
    <mergeCell ref="B10:D10"/>
    <mergeCell ref="E10:L10"/>
    <mergeCell ref="M10:N10"/>
    <mergeCell ref="O10:P10"/>
    <mergeCell ref="B25:C25"/>
    <mergeCell ref="B16:D16"/>
    <mergeCell ref="J16:K16"/>
    <mergeCell ref="B18:P18"/>
    <mergeCell ref="B19:D19"/>
    <mergeCell ref="B22:C22"/>
    <mergeCell ref="B23:C23"/>
    <mergeCell ref="B24:C24"/>
    <mergeCell ref="O12:P12"/>
    <mergeCell ref="B14:D14"/>
    <mergeCell ref="E14:H14"/>
    <mergeCell ref="I14:J14"/>
    <mergeCell ref="L45:N45"/>
    <mergeCell ref="B26:F26"/>
    <mergeCell ref="G26:P26"/>
    <mergeCell ref="B28:P28"/>
    <mergeCell ref="L44:N44"/>
    <mergeCell ref="B29:G34"/>
    <mergeCell ref="H29:P29"/>
    <mergeCell ref="H30:P30"/>
    <mergeCell ref="H31:P31"/>
    <mergeCell ref="H32:P32"/>
    <mergeCell ref="H33:P33"/>
    <mergeCell ref="H34:P34"/>
    <mergeCell ref="B35:P35"/>
    <mergeCell ref="B36:P36"/>
    <mergeCell ref="B37:P37"/>
    <mergeCell ref="B41:H41"/>
  </mergeCells>
  <conditionalFormatting sqref="D24:P24">
    <cfRule type="cellIs" dxfId="3" priority="1" stopIfTrue="1" operator="equal">
      <formula>" "</formula>
    </cfRule>
    <cfRule type="cellIs" dxfId="2" priority="2" stopIfTrue="1" operator="greaterThanOrEqual">
      <formula>$G$16</formula>
    </cfRule>
    <cfRule type="cellIs" dxfId="1" priority="3" stopIfTrue="1" operator="between">
      <formula>$L$16</formula>
      <formula>$I$16</formula>
    </cfRule>
    <cfRule type="cellIs" dxfId="0" priority="4" stopIfTrue="1" operator="lessThan">
      <formula>$N$16</formula>
    </cfRule>
  </conditionalFormatting>
  <printOptions horizontalCentered="1"/>
  <pageMargins left="0.39370078740157483" right="0.39370078740157483" top="0.59055118110236227" bottom="0.39370078740157483" header="0" footer="0"/>
  <pageSetup paperSize="9" scale="44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ENE</vt:lpstr>
      <vt:lpstr>ENE!Área_de_impresión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GLOPEZ</dc:creator>
  <cp:lastModifiedBy>Maria Atusparia</cp:lastModifiedBy>
  <cp:lastPrinted>2025-11-12T14:34:35Z</cp:lastPrinted>
  <dcterms:created xsi:type="dcterms:W3CDTF">2012-03-26T15:32:01Z</dcterms:created>
  <dcterms:modified xsi:type="dcterms:W3CDTF">2026-03-30T22:57:35Z</dcterms:modified>
</cp:coreProperties>
</file>