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slicers/slicer1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ENT_01\LA COLONIAL Dropbox\Ventas La Colonial Fca. de Hilos\Cris Armas\"/>
    </mc:Choice>
  </mc:AlternateContent>
  <xr:revisionPtr revIDLastSave="0" documentId="13_ncr:1_{71CF11E4-7BB3-4E46-ABD7-9B79B30D309E}" xr6:coauthVersionLast="47" xr6:coauthVersionMax="47" xr10:uidLastSave="{00000000-0000-0000-0000-000000000000}"/>
  <bookViews>
    <workbookView xWindow="-105" yWindow="0" windowWidth="12210" windowHeight="12885" tabRatio="772" firstSheet="3" activeTab="3" xr2:uid="{CAD432CF-75D1-427D-8864-BBB0800E659F}"/>
  </bookViews>
  <sheets>
    <sheet name="PLANTILLA- VOLUMEN DE VENTAS" sheetId="5" state="hidden" r:id="rId1"/>
    <sheet name="COMPARATIVO MENSUAL 2025" sheetId="13" state="hidden" r:id="rId2"/>
    <sheet name="Hoja1" sheetId="15" state="hidden" r:id="rId3"/>
    <sheet name="INDICADORES COMERCIALES" sheetId="16" r:id="rId4"/>
    <sheet name="Hoja2" sheetId="19" r:id="rId5"/>
    <sheet name="DATA MENSUAL_ASESOR2026" sheetId="14" r:id="rId6"/>
    <sheet name="2026" sheetId="17" state="hidden" r:id="rId7"/>
    <sheet name="2025" sheetId="18" state="hidden" r:id="rId8"/>
    <sheet name="COMP_MEN_ASES 2024" sheetId="12" state="hidden" r:id="rId9"/>
    <sheet name="COMPARATIVO ANUAL " sheetId="11" state="hidden" r:id="rId10"/>
    <sheet name="DATA MENSUAL_ASESOR2024" sheetId="9" state="hidden" r:id="rId11"/>
    <sheet name="DATA ANUAL" sheetId="10" state="hidden" r:id="rId12"/>
    <sheet name="VOLUMEN DE VENTAS" sheetId="4" state="hidden" r:id="rId13"/>
  </sheets>
  <definedNames>
    <definedName name="_xlnm._FilterDatabase" localSheetId="11" hidden="1">'DATA ANUAL'!$A$1:$F$496</definedName>
    <definedName name="_xlnm._FilterDatabase" localSheetId="10" hidden="1">'DATA MENSUAL_ASESOR2024'!$A$1:$D$49</definedName>
    <definedName name="_xlnm._FilterDatabase" localSheetId="5" hidden="1">'DATA MENSUAL_ASESOR2026'!$A$1:$D$49</definedName>
    <definedName name="_xlcn.WorksheetConnection_PLANTILLAVOLUMENDEVENTASA1K131" hidden="1">'PLANTILLA- VOLUMEN DE VENTAS'!$A$1:$K$13</definedName>
    <definedName name="_xlnm.Print_Area" localSheetId="6">'2026'!$A$3:$C$57</definedName>
    <definedName name="_xlnm.Print_Area" localSheetId="1">'COMPARATIVO MENSUAL 2025'!$B$1:$Q$45</definedName>
    <definedName name="SegmentaciónDeDatos_ASESOR">#N/A</definedName>
    <definedName name="SegmentaciónDeDatos_ASESOR1">#N/A</definedName>
  </definedNames>
  <calcPr calcId="191029"/>
  <pivotCaches>
    <pivotCache cacheId="0" r:id="rId14"/>
    <pivotCache cacheId="1" r:id="rId15"/>
    <pivotCache cacheId="2" r:id="rId16"/>
    <pivotCache cacheId="3" r:id="rId17"/>
  </pivotCaches>
  <extLst>
    <ext xmlns:x14="http://schemas.microsoft.com/office/spreadsheetml/2009/9/main" uri="{BBE1A952-AA13-448e-AADC-164F8A28A991}">
      <x14:slicerCaches>
        <x14:slicerCache r:id="rId18"/>
        <x14:slicerCache r:id="rId1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" name="Rango" connection="WorksheetConnection_PLANTILLA- VOLUMEN DE VENTAS!$A$1:$K$1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19" l="1"/>
  <c r="D17" i="19"/>
  <c r="D15" i="19"/>
  <c r="D14" i="19"/>
  <c r="D5" i="19"/>
  <c r="D8" i="19"/>
  <c r="D7" i="19"/>
  <c r="D6" i="19"/>
  <c r="C54" i="18" l="1"/>
  <c r="B54" i="18"/>
  <c r="D50" i="18"/>
  <c r="D54" i="18" s="1"/>
  <c r="C50" i="18"/>
  <c r="B50" i="18"/>
  <c r="D34" i="18"/>
  <c r="C30" i="18"/>
  <c r="C34" i="18" s="1"/>
  <c r="B30" i="18"/>
  <c r="B34" i="18" s="1"/>
  <c r="D12" i="18"/>
  <c r="D17" i="18" s="1"/>
  <c r="C12" i="18"/>
  <c r="C17" i="18" s="1"/>
  <c r="B12" i="18"/>
  <c r="B17" i="18" s="1"/>
  <c r="C53" i="17" l="1"/>
  <c r="C57" i="17" s="1"/>
  <c r="B53" i="17"/>
  <c r="B57" i="17" s="1"/>
  <c r="C38" i="17"/>
  <c r="B38" i="17"/>
  <c r="C17" i="17"/>
  <c r="C22" i="17" s="1"/>
  <c r="B17" i="17"/>
  <c r="B22" i="17" s="1"/>
  <c r="B4" i="15"/>
  <c r="C4" i="15"/>
  <c r="D4" i="15"/>
  <c r="E4" i="15"/>
  <c r="A4" i="15"/>
  <c r="G5" i="5"/>
  <c r="G6" i="5"/>
  <c r="G7" i="5"/>
  <c r="G8" i="5"/>
  <c r="G9" i="5"/>
  <c r="G10" i="5"/>
  <c r="G11" i="5"/>
  <c r="G12" i="5"/>
  <c r="G13" i="5"/>
  <c r="G3" i="5"/>
  <c r="G4" i="5"/>
  <c r="G2" i="5"/>
  <c r="D3" i="5"/>
  <c r="D4" i="5"/>
  <c r="D5" i="5"/>
  <c r="D6" i="5"/>
  <c r="D7" i="5"/>
  <c r="D8" i="5"/>
  <c r="D9" i="5"/>
  <c r="D10" i="5"/>
  <c r="D11" i="5"/>
  <c r="D12" i="5"/>
  <c r="D13" i="5"/>
  <c r="D2" i="5"/>
  <c r="H9" i="5"/>
  <c r="E5" i="5"/>
  <c r="E8" i="5"/>
  <c r="H7" i="5"/>
  <c r="H8" i="5"/>
  <c r="E7" i="5"/>
  <c r="H5" i="5"/>
  <c r="H4" i="5"/>
  <c r="E4" i="5"/>
  <c r="H6" i="5"/>
  <c r="H3" i="5"/>
  <c r="E3" i="5"/>
  <c r="H2" i="5"/>
  <c r="E2" i="5"/>
  <c r="E6" i="5"/>
  <c r="E9" i="5"/>
  <c r="J6" i="5" l="1"/>
  <c r="F6" i="5"/>
  <c r="K6" i="5"/>
  <c r="I6" i="5"/>
  <c r="J5" i="5"/>
  <c r="F5" i="5"/>
  <c r="I5" i="5"/>
  <c r="K5" i="5"/>
  <c r="K4" i="5"/>
  <c r="K3" i="5"/>
  <c r="I3" i="5"/>
  <c r="K2" i="5"/>
  <c r="I2" i="5"/>
  <c r="J2" i="5"/>
  <c r="F3" i="5"/>
  <c r="J4" i="5"/>
  <c r="F4" i="5"/>
  <c r="I4" i="5"/>
  <c r="J3" i="5"/>
  <c r="F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A2F38C-B11B-4313-96B5-87998382D0FB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C96842C-06C4-4FA2-859F-0E1FD25547E3}" name="WorksheetConnection_PLANTILLA- VOLUMEN DE VENTAS!$A$1:$K$13" type="102" refreshedVersion="8" minRefreshableVersion="5">
    <extLst>
      <ext xmlns:x15="http://schemas.microsoft.com/office/spreadsheetml/2010/11/main" uri="{DE250136-89BD-433C-8126-D09CA5730AF9}">
        <x15:connection id="Rango">
          <x15:rangePr sourceName="_xlcn.WorksheetConnection_PLANTILLAVOLUMENDEVENTASA1K131"/>
        </x15:connection>
      </ext>
    </extLst>
  </connection>
</connections>
</file>

<file path=xl/sharedStrings.xml><?xml version="1.0" encoding="utf-8"?>
<sst xmlns="http://schemas.openxmlformats.org/spreadsheetml/2006/main" count="1555" uniqueCount="444">
  <si>
    <t>Establecer la meta: Basarse en el histórico  de ventas, proyecciones de crecimiento y las capacidades del equipo.</t>
  </si>
  <si>
    <t xml:space="preserve">DEBE SER MEDIBLE </t>
  </si>
  <si>
    <t>Herramienta de Medicion: Sistema ERP SIGE</t>
  </si>
  <si>
    <t>MONITOREO, revisión mensual del volumen de ventas  para comparar con la meta.</t>
  </si>
  <si>
    <t>Establecer el periodo de tiempo que se va medir el volumen de ventas: Diario, semanal, mensual o trimestral.</t>
  </si>
  <si>
    <t>Establecer qué se va medir, puede ser e unidades vendidas o valor monetario.</t>
  </si>
  <si>
    <t>Por ejemplo si el volumen de ventas promedio es de 1000 unidades mensuales, se puede establecer  en una meta de crecimiemto del 10%, lo que llevaria a una meta de 1100 und mensuales.</t>
  </si>
  <si>
    <t>MES</t>
  </si>
  <si>
    <t>VENTAS OBJETIVO (KG)</t>
  </si>
  <si>
    <t>VENTAS REALIZADAS(KG)</t>
  </si>
  <si>
    <t>DIFERENCIA (KG)</t>
  </si>
  <si>
    <t>SUR COLOR STAR S.A</t>
  </si>
  <si>
    <t>MARGA S.R.L.</t>
  </si>
  <si>
    <t>TSONKIRI SOCIEDAD ANONIMA CERRADA-TSONKIRI S.A.C.</t>
  </si>
  <si>
    <t>FRANKY Y RICKY S.A.</t>
  </si>
  <si>
    <t>CORCELI S.A.C</t>
  </si>
  <si>
    <t>INDUSTRIAS ALPAFINA S.A.C.</t>
  </si>
  <si>
    <t>NEO FIBERS SOCIEDAD ANÓNIMA CERRADA</t>
  </si>
  <si>
    <t>INDUSTRIA TEXTIL DEL PACIFICO S.A.</t>
  </si>
  <si>
    <t>ART ATLAS S.R.L.</t>
  </si>
  <si>
    <t>INTRATESA S.A.C.</t>
  </si>
  <si>
    <t>CASA MACCHIAVELLO S.A.C.</t>
  </si>
  <si>
    <t>KNIT COUTURE S.A.C.</t>
  </si>
  <si>
    <t>INVERSIONES INDUSTRIALES SAN MARTIN E.I.R.L</t>
  </si>
  <si>
    <t>TEXTURAS Y ACABADOS S.A.C.</t>
  </si>
  <si>
    <t>FIBRAS UNIDAS S.A.C</t>
  </si>
  <si>
    <t>MICHELL Y CIA  S.A.</t>
  </si>
  <si>
    <t>ROYAL KNIT S.A.C.</t>
  </si>
  <si>
    <t>AMANTANI KNITS SOCIEDAD ANONIMA CERRADA</t>
  </si>
  <si>
    <t>TEXGROUP S.A.</t>
  </si>
  <si>
    <t>ANAZER S.A.C.</t>
  </si>
  <si>
    <t>NIKO INTERNATIONAL SAC</t>
  </si>
  <si>
    <t>WAKA-S TEXTILES FINOS S.A.C.</t>
  </si>
  <si>
    <t>COLECCIONES Y DISE¥OS SOC. COM. RESPONS. LTDA</t>
  </si>
  <si>
    <t>MFH KNITS S.A.C.</t>
  </si>
  <si>
    <t>TEXTILE SOURCING PERU S.A.C</t>
  </si>
  <si>
    <t>INCALPACA TEXTILES PERUANOS DE EXPORT S.A.</t>
  </si>
  <si>
    <t>TRADING VENTURES S.A.C</t>
  </si>
  <si>
    <t>TEXTIL CHAVIN S.A.C.</t>
  </si>
  <si>
    <t>INVERSIONES CHECA S.A.C.</t>
  </si>
  <si>
    <t>INKASIGN SOCIEDAD ANONIMA CERRADA</t>
  </si>
  <si>
    <t>NEW EXPO S.A.C.</t>
  </si>
  <si>
    <t>ASTER TEKSTIL SAN. VE DIS. TIC. A.S.</t>
  </si>
  <si>
    <t>INDUSTRIAS NETTALCO S.A.</t>
  </si>
  <si>
    <t>GLOPAC S.A.C.</t>
  </si>
  <si>
    <t>CONFECCIONES LANCASTER S.A.</t>
  </si>
  <si>
    <t>SOLARA SOCIEDAD ANONIMA CERRADA -SOLARA S.A.C.</t>
  </si>
  <si>
    <t>MISHA AND PUFF PERU S.A.C.</t>
  </si>
  <si>
    <t>MOMA FACTORY SAC</t>
  </si>
  <si>
    <t>COOPERATIVA INDUSTRIAL MANUFACTURAS TRES ESTRELLAS LTDA</t>
  </si>
  <si>
    <t>TEXTILES A &amp; D E.I.R.L.</t>
  </si>
  <si>
    <t>TEXTIL CARMELITA S.A.C</t>
  </si>
  <si>
    <t>LENNY KIDS S.A.C.</t>
  </si>
  <si>
    <t>VENATOR S.A.C.</t>
  </si>
  <si>
    <t>TEXTILINEA S.A.C.</t>
  </si>
  <si>
    <t>CONFECCIONES KRISTY SOCIEDAD COMERCIAL DE RESPONSABILIDAD LIMITADA</t>
  </si>
  <si>
    <t>RAINBOW TEXTILE S.A.C. - RAINTEX S.A.C.</t>
  </si>
  <si>
    <t>LIVES S.A.C.</t>
  </si>
  <si>
    <t>TEXTIL VISO S.A.C.</t>
  </si>
  <si>
    <t>GARMENT TRADING S.A.C</t>
  </si>
  <si>
    <t>COMPAÑIA INDUSTRIAL ROMOSA SAC</t>
  </si>
  <si>
    <t>WESSMAR SOTO S.A.C.</t>
  </si>
  <si>
    <t>JARA APONTE VERONICA ESTHER</t>
  </si>
  <si>
    <t>VIDES E.I.R.L.</t>
  </si>
  <si>
    <t>LUCIANO MURGA EDSON AARON</t>
  </si>
  <si>
    <t>IMPORTACIONES D'LEONA INTERNACIONAL E.I.R.L.</t>
  </si>
  <si>
    <t>PE¥A CASTRO CLEIDEN ANDRES</t>
  </si>
  <si>
    <t>KOLIBRI ART S.A.C.</t>
  </si>
  <si>
    <t>KUSA COTTON PERU S.A.C.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</si>
  <si>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</si>
  <si>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</si>
  <si>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</si>
  <si>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</si>
  <si>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</si>
  <si>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</si>
  <si>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</si>
  <si>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</si>
  <si>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</si>
  <si>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</si>
  <si>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</si>
  <si>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</si>
  <si>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ASESOR</t>
  </si>
  <si>
    <t>IMPORTE</t>
  </si>
  <si>
    <t>JUAN MEDINA</t>
  </si>
  <si>
    <t>CORPORACION ALIMENTARIA SUIZA S.A.C.</t>
  </si>
  <si>
    <t>DISEÑO ACMM SOCIEDAD ANONIMA CERRADA - DISEÑO ACMM S.A.C.</t>
  </si>
  <si>
    <t>MODAS DIVERSAS DEL PERU S.A.C.</t>
  </si>
  <si>
    <t>VELARDE NEYRA ALEJANDRO LEANDRO</t>
  </si>
  <si>
    <t>TEXTIL DEL VALLE SOCIEDAD ANONIMA DE BENEFICIO E INTERES COLECTIVO</t>
  </si>
  <si>
    <t>TEXTILE BABY FASHION S.A.C.</t>
  </si>
  <si>
    <t>ESPACIO CONCEPTO MODA E.I.R.L.</t>
  </si>
  <si>
    <t>SUAREZ LANASCA MIJAHEL JERRY</t>
  </si>
  <si>
    <t>MECATEX PERU E.I.R.L.</t>
  </si>
  <si>
    <t>BERNACHEA MEDINA LUIS ALBERTO</t>
  </si>
  <si>
    <t>JOPE REPRESENTACIONES SAC</t>
  </si>
  <si>
    <t>CORPORACION HGR S.A.C.</t>
  </si>
  <si>
    <t>PRECOTEX S.A.C.</t>
  </si>
  <si>
    <t>TORIBIO ALCANTARA LIZETH MARGIORIE</t>
  </si>
  <si>
    <t>HILANDERIA DE ALGODON PERUANO S.A.</t>
  </si>
  <si>
    <t>RIOS &amp; HNOS SAC</t>
  </si>
  <si>
    <t>TEXTIL MILEITH S.R.L.</t>
  </si>
  <si>
    <t>COLORFUL COTTON S.A.C.</t>
  </si>
  <si>
    <t>HUAMAN HERRERA DE YA¥EZ MARIA LUISA</t>
  </si>
  <si>
    <t>MAQUITEXL E.I.R.L.</t>
  </si>
  <si>
    <t>COFACO INDUSTRIES S.A.C.</t>
  </si>
  <si>
    <t>CATALOGO S.A.C.</t>
  </si>
  <si>
    <t>EVELYN MONTEZA E.I.R.L.</t>
  </si>
  <si>
    <t>COMERCIAL TEXTIL SEBASTIAN SOC.COM.RESPONS.LTDA.</t>
  </si>
  <si>
    <t>INDUSTRIA PERUANA DE VELAS S.R.L</t>
  </si>
  <si>
    <t>VALENCIA CARITA GUIDO</t>
  </si>
  <si>
    <t>Etiquetas de fila</t>
  </si>
  <si>
    <t>Total general</t>
  </si>
  <si>
    <t>VENTAS 2024 (KG)</t>
  </si>
  <si>
    <t>ALFREDO ASTOQUILLCA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</si>
  <si>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</si>
  <si>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</si>
  <si>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</si>
  <si>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</si>
  <si>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</si>
  <si>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</si>
  <si>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</si>
  <si>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</si>
  <si>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</si>
  <si>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</si>
  <si>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</si>
  <si>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</si>
  <si>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COD_CLIENTE</t>
  </si>
  <si>
    <t>AÑO</t>
  </si>
  <si>
    <t>NOMBRE</t>
  </si>
  <si>
    <t>RUC</t>
  </si>
  <si>
    <t>VENDEDOR</t>
  </si>
  <si>
    <t xml:space="preserve"> J &amp; R COMPANY TEXTIL S.A.C.</t>
  </si>
  <si>
    <t>J.MEDINA</t>
  </si>
  <si>
    <t>ABLIMATEX EXPORT S.A.C.</t>
  </si>
  <si>
    <t>ABUCORP PERU SAC</t>
  </si>
  <si>
    <t>F.VARA</t>
  </si>
  <si>
    <t>ACEVEDO SALAZAR LUIS</t>
  </si>
  <si>
    <t>A.ASTOQUILLCA</t>
  </si>
  <si>
    <t>ADOMA S.A.C.</t>
  </si>
  <si>
    <t>AGROFIL HUYRO S.A.C</t>
  </si>
  <si>
    <t>ALBURQUERQUE MERINO MARTHA</t>
  </si>
  <si>
    <t>ALIANZA COLOR S.A.C.</t>
  </si>
  <si>
    <t>ALLPA S.A.C.</t>
  </si>
  <si>
    <t>ALMERIZ S.A.</t>
  </si>
  <si>
    <t>ALPACA D &amp; C COMPANY S.A.C.</t>
  </si>
  <si>
    <t>ALPAKA FASHION E.I.R.L.</t>
  </si>
  <si>
    <t>ALPRATEX SOCIEDAD ANONIMA CERRADA</t>
  </si>
  <si>
    <t>ANDEAN FLOR S.A.C</t>
  </si>
  <si>
    <t>ANDES TEXTILES PERU S.A.C.</t>
  </si>
  <si>
    <t>ANGELITA GROUP E.I.R.L.</t>
  </si>
  <si>
    <t>ARTESANIAS MON REPOS S.A</t>
  </si>
  <si>
    <t>ASTETE CAJAS ELMER OMAR</t>
  </si>
  <si>
    <t>ATENCIO YACHAS MIRIAM NOELIA</t>
  </si>
  <si>
    <t>AYNI COLLECTION E.I.R.L.</t>
  </si>
  <si>
    <t>BE DESIGN E.I.R.L.</t>
  </si>
  <si>
    <t>BEBITA SAS</t>
  </si>
  <si>
    <t>BELLUCCI INTERNATIONAL JAPAN E.I.R.L.</t>
  </si>
  <si>
    <t>BIANCO SUCESORES SOCIEDAD COMERCIAL DE RESPONSABILIDAD LTDA</t>
  </si>
  <si>
    <t>BOLAÑOS JUAREZ BIENVENIDA CLARA</t>
  </si>
  <si>
    <t>BRICE¥O FASANANDO MARY CARMEN</t>
  </si>
  <si>
    <t>CAMPOS MU¥OZ KELLY BETTY</t>
  </si>
  <si>
    <t>CANAHUIRE MAMANI EVELYN MELISSA</t>
  </si>
  <si>
    <t>CARAZ COMPANY S.A.C.</t>
  </si>
  <si>
    <t>CASALINO CARBAJAL CARLOS MIGUEL</t>
  </si>
  <si>
    <t>CASALINO SIU JOSE LUIS</t>
  </si>
  <si>
    <t>CASTRO PUERTAS INES</t>
  </si>
  <si>
    <t>CHACON ORTIZ YUDITH</t>
  </si>
  <si>
    <t>CHALICEN S.A.C</t>
  </si>
  <si>
    <t>CHIPANA CHILPA  ANALY CAROLA</t>
  </si>
  <si>
    <t>CHURQUIPA CHAMBI CARMEN ROCIO</t>
  </si>
  <si>
    <t>CINTAS GENERALES S.A.</t>
  </si>
  <si>
    <t>COLCA FABRICS S.A.C.</t>
  </si>
  <si>
    <t>COMERCIAL ROSITEX S.R.L.</t>
  </si>
  <si>
    <t>COMPA¥IA GOODYEAR DEL PERU S.A.</t>
  </si>
  <si>
    <t>CONFECCIONES &amp; TEJIDOS CATITA S.A.C.</t>
  </si>
  <si>
    <t>CONFECCIONES SANDRA S.A.C.</t>
  </si>
  <si>
    <t>CONFECCIONES TEXTIMAX S.A.</t>
  </si>
  <si>
    <t>CONSORCIO D'MELL CIA E.I.R.L.</t>
  </si>
  <si>
    <t>CORPORACION ALEXANDRA'S E.I.R.L.</t>
  </si>
  <si>
    <t>CORPORACION FRAMA'Z S.A.C.</t>
  </si>
  <si>
    <t>CORPORACION MUSTOL SOCIEDAD ANONIMA CERRADA</t>
  </si>
  <si>
    <t>CORPORACION PAULET S.A.C.</t>
  </si>
  <si>
    <t>CORPORACION PE¥A E.I.R.L.</t>
  </si>
  <si>
    <t>CORPORACION REY S.A.</t>
  </si>
  <si>
    <t>CORPORACION TEXTIL AQUINO S.A.C.</t>
  </si>
  <si>
    <t>CORPORACION TEXTIL DEL SUR S.A.C.</t>
  </si>
  <si>
    <t>CORPORACION WAMA S.A.C.</t>
  </si>
  <si>
    <t>CORPORACION Y NEGOCIOS MARIS R Y E E.I.R.L</t>
  </si>
  <si>
    <t>CORTEXTIL E.I.R.L.</t>
  </si>
  <si>
    <t>COTTON CREATIONS S.A.C.</t>
  </si>
  <si>
    <t>COTTON FRESHNESS S.A.C.</t>
  </si>
  <si>
    <t>COTTON KNIT S.A.C.</t>
  </si>
  <si>
    <t>CREACIONES LO NUESTRO E.I.R.L.</t>
  </si>
  <si>
    <t>CREDITEX  S.A.A.</t>
  </si>
  <si>
    <t>CRUZ VARGAS DE LLAPAPASCA IRMA CELIA</t>
  </si>
  <si>
    <t>CUMPI CAMAYOC E.I.R.L.</t>
  </si>
  <si>
    <t>D PERU TEXTIL S.A.C.</t>
  </si>
  <si>
    <t>DANNIEL KNITTING SAC</t>
  </si>
  <si>
    <t>DISEÑO Y AYUDA S.A.C.</t>
  </si>
  <si>
    <t>DISTRIBUCIONES PROVEEDORA J &amp; V  E.I.R.L.</t>
  </si>
  <si>
    <t>DORA CONROY S.R.L.</t>
  </si>
  <si>
    <t>DOVI IMPORT S.A.C.</t>
  </si>
  <si>
    <t>EL PALACIO DE LOS HILOS &amp; LANAS E.I.R.L.</t>
  </si>
  <si>
    <t>ETHNIC FASHION S.A.C.</t>
  </si>
  <si>
    <t>EXPORT KAMAQ MAKI DEL PERU SRL.</t>
  </si>
  <si>
    <t>EZZETA COMPANY E.I.R.L.</t>
  </si>
  <si>
    <t>F &amp; H GROUP SOCIEDAD ANONIMA CERRADA</t>
  </si>
  <si>
    <t>FABRICA DE CINTAS ARBONA S.A.</t>
  </si>
  <si>
    <t>FIERRO YACHAS JAIRZINHO JAVIER</t>
  </si>
  <si>
    <t>FILASUR S.A.</t>
  </si>
  <si>
    <t>FLOAM SUSTAINABLE S.A.C.</t>
  </si>
  <si>
    <t>G &amp; V SOLUTIONS IMPO Y EXPO S.A.C.</t>
  </si>
  <si>
    <t>GARO KNIT S.A.C.</t>
  </si>
  <si>
    <t>GAZITUA SEGURA EDGAR ANTONIO</t>
  </si>
  <si>
    <t>GFKNITS S.A.C.</t>
  </si>
  <si>
    <t>GIANFA E.I.R.L.</t>
  </si>
  <si>
    <t>GLOBAL TEXTILE COMPANY SOCIEDAD ANONIMA CERRADA</t>
  </si>
  <si>
    <t>GRUPO SANTA LUCIA S.A.C.</t>
  </si>
  <si>
    <t>GUERRERO SANDOVAL LUZ VICTORIA</t>
  </si>
  <si>
    <t>GUEVARA MEDINA LAURA LEONOR</t>
  </si>
  <si>
    <t>GUILLEN GARCIA JULIA HERLINDA</t>
  </si>
  <si>
    <t>GUTFLO E.I.R.L.</t>
  </si>
  <si>
    <t>HALLASI BERDEJO KARINA</t>
  </si>
  <si>
    <t>HANABI S.A.C.</t>
  </si>
  <si>
    <t>HDA PERU E.I.R.L.</t>
  </si>
  <si>
    <t>HINOSTROZA PEREZ WENDY</t>
  </si>
  <si>
    <t>HOUSE OF PIMA S.A.C.</t>
  </si>
  <si>
    <t>HUANCA QUISPE LOURDES</t>
  </si>
  <si>
    <t>IDEAS Y SOLUCIONES TEXTILES S.A.C.</t>
  </si>
  <si>
    <t>IDETEX S.A.C.</t>
  </si>
  <si>
    <t>IMPORT L'QATEX E.I.R.L.</t>
  </si>
  <si>
    <t>IMPORT Y EXPORT EDISON TEXTIL S.R.L</t>
  </si>
  <si>
    <t>IMPORTACIONES &amp; DISTRIBUIDORES LAGUNA`S SOCIEDAD ANONIMA CERRADA</t>
  </si>
  <si>
    <t>IMPORTACIONES INNOVA TEXTIL S.A.C.</t>
  </si>
  <si>
    <t>INCA TOPS S.A.</t>
  </si>
  <si>
    <t>INDUSTRIA TEXTIL DABS S.A.C.</t>
  </si>
  <si>
    <t>INDUSTRIAL TEXTIL PALACIOS SOCIEDAD ANONIMA CERRADA</t>
  </si>
  <si>
    <t>INNOVATIVE KNITWEAR S.R.L.</t>
  </si>
  <si>
    <t>INVERSIONES ACOX S.A.C.</t>
  </si>
  <si>
    <t>INVERSIONES AWAY S.A.C</t>
  </si>
  <si>
    <t>INVERSIONES BRAHUS SAC</t>
  </si>
  <si>
    <t>INVERSIONES GAUCHO S.A.C.</t>
  </si>
  <si>
    <t>INVERSIONES KNITOYS S.A.C.S.</t>
  </si>
  <si>
    <t>JEGOLD E.I.R.L.</t>
  </si>
  <si>
    <t>JHOMI ORGANIC COTTON S.R.L.</t>
  </si>
  <si>
    <t>JYG GISELA BARRIETOS ZC S.A.C</t>
  </si>
  <si>
    <t>KAPAROMA E.I.R.L.</t>
  </si>
  <si>
    <t>KATA ALPACA E.I.R.L.</t>
  </si>
  <si>
    <t>KAYA CORPORATION S.A.C.</t>
  </si>
  <si>
    <t>KAYTUMPI S.R.L.</t>
  </si>
  <si>
    <t>KERO DESIGN S.A.C.</t>
  </si>
  <si>
    <t>KUYU SOCIEDAD ANONIMA CERRADA</t>
  </si>
  <si>
    <t>12.385.440-3</t>
  </si>
  <si>
    <t>LEIVA DIAZ PATRICIO ESTEBAN</t>
  </si>
  <si>
    <t>LOMAS PREMIUM S.A.C.</t>
  </si>
  <si>
    <t>MAGIC IN COTTON S.A.C.</t>
  </si>
  <si>
    <t>MAMANI ROJAS ISMAEL</t>
  </si>
  <si>
    <t>MAMANI ROJAS JULIO CESAR</t>
  </si>
  <si>
    <t>MANRIQUE FLORES DIETER DILLMAN</t>
  </si>
  <si>
    <t>MANU KNITS SOCIEDAD ANONIMA CERRADA</t>
  </si>
  <si>
    <t>MANUFACTURA BABY GABA S.A.C.</t>
  </si>
  <si>
    <t>MANUFACTURAS DE PASADORES Y CINTAS S.A.C.</t>
  </si>
  <si>
    <t>MATTHILDUR S.A.C.</t>
  </si>
  <si>
    <t>MAYTA MAQQUERHUA ANA PAMELA</t>
  </si>
  <si>
    <t>MESTAS PACOTICO JOSEFINA</t>
  </si>
  <si>
    <t>MEXTHON S.A.C.</t>
  </si>
  <si>
    <t>MICASE S.A.C.</t>
  </si>
  <si>
    <t>MODA CON PROPOSITO  E.I.R.L.</t>
  </si>
  <si>
    <t>NAB INNOVACIONES TEXTILES S.A.C.</t>
  </si>
  <si>
    <t>NAB TEXTILES S.A.C.</t>
  </si>
  <si>
    <t>NEGOCIACIONES HILADOS VARGAS S.A.C.</t>
  </si>
  <si>
    <t>NEW GAUCHO S.R.L.</t>
  </si>
  <si>
    <t>NEXANS CHILE S.A.</t>
  </si>
  <si>
    <t>NOVA TEXTIL SOURCING &amp; TRADING S.A.C.</t>
  </si>
  <si>
    <t>NOVABLUE SOURCING S.A.C.</t>
  </si>
  <si>
    <t>NOVARA S.R.L.</t>
  </si>
  <si>
    <t>NUIT S.R.LTDA.</t>
  </si>
  <si>
    <t>NUQA CLOTHING S.A.C.</t>
  </si>
  <si>
    <t>OMNIPOL S.R.L.</t>
  </si>
  <si>
    <t>PASAMANERIA ANARA E.I.R.L.</t>
  </si>
  <si>
    <t>PASHTU REVIVAL S.A.C.</t>
  </si>
  <si>
    <t>PAZ LINARES CLARA JANET</t>
  </si>
  <si>
    <t>PCS EXPORT LTD. SOCIEDAD ANONIMA CERRADA</t>
  </si>
  <si>
    <t>PEQUE¥AS COSTURAS S.A.C.</t>
  </si>
  <si>
    <t>PERU FASHIONS S.A.C.</t>
  </si>
  <si>
    <t>PERUVIAN COTTON PRODUCT SOCIEDAD ANONIMA CERRADA.</t>
  </si>
  <si>
    <t>PERUVIAN KNITWEAR S.A.C.</t>
  </si>
  <si>
    <t>PEÑA CASTRO LUZ ROXANA</t>
  </si>
  <si>
    <t>PILCO PARI JUAN SEVERO</t>
  </si>
  <si>
    <t>PITA SEGURA GALLI LORENA</t>
  </si>
  <si>
    <t>PRODUCCION BARRANCO S.A.C.</t>
  </si>
  <si>
    <t>PUNTOZIP S.A.C.</t>
  </si>
  <si>
    <t>QUISPE RAMOS JUAN CARLOS</t>
  </si>
  <si>
    <t>R-PAC VIETNAM LIMITED</t>
  </si>
  <si>
    <t>RAFFA PROEXCO E.I.R.L.</t>
  </si>
  <si>
    <t>RC KNITS SRL</t>
  </si>
  <si>
    <t>REVOLUTION KNITS S.R.L.</t>
  </si>
  <si>
    <t>RIDISA S.R.L.</t>
  </si>
  <si>
    <t>RODRIGUEZ POZO ALDO</t>
  </si>
  <si>
    <t>SALINAS ALARCON JORGE LUIS</t>
  </si>
  <si>
    <t>SERAM ASIA TRADING(HK) LIMITED</t>
  </si>
  <si>
    <t>SERNA RODAS HENRRY</t>
  </si>
  <si>
    <t>SH SOURCING S.A.C.</t>
  </si>
  <si>
    <t>SISTER'S KIDS S.A.C.</t>
  </si>
  <si>
    <t>SOURCING BROTHERS S.A.C.</t>
  </si>
  <si>
    <t>SOUTHERN TEXTILE NETWORK S.A.C.</t>
  </si>
  <si>
    <t>SOX SOCIEDAD ANONIMA CERRADA</t>
  </si>
  <si>
    <t>SUCESION RIOJA MONTES VICTOR</t>
  </si>
  <si>
    <t>SUNI CHINO VIRGILIO</t>
  </si>
  <si>
    <t>SUPER PROSPERA SOCIEDAD COMERCIAL DE RESPONSABILIDAD LIMITADA</t>
  </si>
  <si>
    <t>SUQUIPA SOCIEDAD ANONIMA CERRADA - SUQUIPA S.A.C.</t>
  </si>
  <si>
    <t>TARAZONA BONILLA ALICIA</t>
  </si>
  <si>
    <t>TEJIDOS ALPAFINA E.I.R.L.</t>
  </si>
  <si>
    <t>TEJIDOS PERUANOS R Y M SOCIEDAD ANONIMA CERRADA</t>
  </si>
  <si>
    <t>TEXPAL S.A.C.</t>
  </si>
  <si>
    <t>TEXPIMA S.A.C.</t>
  </si>
  <si>
    <t>TEXPUNTO S.A.C.</t>
  </si>
  <si>
    <t>TEXTIL CLOUDER S.A.C.</t>
  </si>
  <si>
    <t>TEXTILE CLOTHING SOLUTION S.A.C.</t>
  </si>
  <si>
    <t>TEXTILE SOURCING COMPANY S.A.C. BIC</t>
  </si>
  <si>
    <t>TEXTILES HAZIEL S.A.C</t>
  </si>
  <si>
    <t>THE CAMPEON TRADING CO.SRL</t>
  </si>
  <si>
    <t>UGARTE MIRANDA VANESSA</t>
  </si>
  <si>
    <t>USE PIMA DESIGN E.I.R.L.</t>
  </si>
  <si>
    <t>VALENCIA CALCINA ANA MARIA</t>
  </si>
  <si>
    <t>VALENT COMPANY S.A.C.</t>
  </si>
  <si>
    <t>VENTAS &amp; SOLUCIONES KOKI E.I.R.L</t>
  </si>
  <si>
    <t>VERGARA IZAGUIRRE JOSE NILTON</t>
  </si>
  <si>
    <t>VIDA TEXTIL S.A.C.</t>
  </si>
  <si>
    <t>VILLANUEVA BUSTAMANTE MARIA ROSALYN</t>
  </si>
  <si>
    <t>VIRCATEX INTERNATIONAL SOURCING S.A.C.</t>
  </si>
  <si>
    <t>VLD INTERNATIONAL S.A.C.</t>
  </si>
  <si>
    <t>WISQA PERU EIRL</t>
  </si>
  <si>
    <t>WOPI ABC E.I.R.L.</t>
  </si>
  <si>
    <t>WORKTEX SAC</t>
  </si>
  <si>
    <t>WT SOURCING PERU S.A.C.BIC</t>
  </si>
  <si>
    <t>YAIKER SOCKS S.A.C.</t>
  </si>
  <si>
    <t>YANA TORRES LIDIA</t>
  </si>
  <si>
    <t>ZEVALLOS CHILLITUPA JORGE LUIS</t>
  </si>
  <si>
    <t>ZIG ZAG DESIGNER E.I.R.L</t>
  </si>
  <si>
    <t>ZIPPER TRADING R Y A FCO E.I.R.L.</t>
  </si>
  <si>
    <t>IMPORTE (S/.)</t>
  </si>
  <si>
    <t>FATIMA VARA</t>
  </si>
  <si>
    <t>RAQUEL BRAVO</t>
  </si>
  <si>
    <t>VENTAS 2024 (S/.)</t>
  </si>
  <si>
    <t>VENTAS OBJETIVO (S/.)</t>
  </si>
  <si>
    <t>VENTAS REALIZADAS(S/.)</t>
  </si>
  <si>
    <t>DIFERENCIA(S/.)</t>
  </si>
  <si>
    <t>CANTIDAD (KG)</t>
  </si>
  <si>
    <t>CANTIDAD (KG) POR ASESOR</t>
  </si>
  <si>
    <t xml:space="preserve"> IMPORTE (S/.) POR ASESOR</t>
  </si>
  <si>
    <t>IMPORTE ANUAL POR ASESOR</t>
  </si>
  <si>
    <t>año</t>
  </si>
  <si>
    <t>CUMPLIMIENTO KG(%)</t>
  </si>
  <si>
    <t>CUMPLIMIENTO S/.(%)</t>
  </si>
  <si>
    <t>ANANITA S.R.L.</t>
  </si>
  <si>
    <t>AWAQ TEXTILES PERU S.A.C</t>
  </si>
  <si>
    <t>FELICIANO ESPINOZA CHRISTHIAN ALEXANDER</t>
  </si>
  <si>
    <t>GRUPO COMERCIAL FROM S.A.C.</t>
  </si>
  <si>
    <t>PEÑA CASTRO BRAYAN SAMIR</t>
  </si>
  <si>
    <t>SG KNITWEAR S.R.L.</t>
  </si>
  <si>
    <t>WALTERS TRUJILLO MELISSA DEL ROSARIO</t>
  </si>
  <si>
    <t>ALFARO BAZAN ANA PAULA</t>
  </si>
  <si>
    <t>OFICINA</t>
  </si>
  <si>
    <t>ARAUJO DE LA ROCA MARCIAL</t>
  </si>
  <si>
    <t>CASTELLARES TARAPAQUI DIEGO DONOVAN</t>
  </si>
  <si>
    <t>COMPAÑIA VENTANILLA TEXTILES S.A.C.</t>
  </si>
  <si>
    <t>CORDOVA BARRETO CARLOS ANTONIO</t>
  </si>
  <si>
    <t>CRISTIAN AARON ORLANDINI BAZAN</t>
  </si>
  <si>
    <t>CURICHIMBA OLORTEGUI JUAN JAVIER</t>
  </si>
  <si>
    <t>DYSTAR PERU S.A.C.</t>
  </si>
  <si>
    <t>EDITH MEJIA CARRION</t>
  </si>
  <si>
    <t>EXPORTACIONES INDI MODAS E.I.R.L.</t>
  </si>
  <si>
    <t>FIOCCO BLOISA FERNANDO CARMELO</t>
  </si>
  <si>
    <t>FIOCCO BLOISA FERNANDO CARMELO...</t>
  </si>
  <si>
    <t>FIOCCO DIAZ JORGE VITTORIO</t>
  </si>
  <si>
    <t>E.CASTILLO</t>
  </si>
  <si>
    <t>FLORES MARTINEZ MARCELINO</t>
  </si>
  <si>
    <t>INDUSTRIAS BUDDY GANG E.I.R.L</t>
  </si>
  <si>
    <t>B.CRUZ</t>
  </si>
  <si>
    <t>INVERSIONES INDUSTRIALES SUREÑO S.A.C.</t>
  </si>
  <si>
    <t>JIMENEZ BERNALES GINO MANUEL</t>
  </si>
  <si>
    <t>JUAPE CAMPOS JOSE</t>
  </si>
  <si>
    <t>LA COLONIAL FABRICA DE HILOS S.A.</t>
  </si>
  <si>
    <t>LA COTONNADE S.A.C.</t>
  </si>
  <si>
    <t>LYON APPAREL MANUFACTURING S.A.C.</t>
  </si>
  <si>
    <t>MALLMA GARCIA ROBERT LUIS</t>
  </si>
  <si>
    <t>MARIN CHUNGA BRENDA LORENA</t>
  </si>
  <si>
    <t>NEGOCIOS BOURONCLE &amp; BENAVENTE E.I.R.L. - NEGOCIOS B &amp; B E.I.R.L.</t>
  </si>
  <si>
    <t>PAIS TEXTIL S.A.C.</t>
  </si>
  <si>
    <t>PLASTIC CONCEPT S.A.C.</t>
  </si>
  <si>
    <t>PORRAS ESPINOZA ENMA</t>
  </si>
  <si>
    <t>REPRESENTACIONES WAYPEX E.I.R.L.</t>
  </si>
  <si>
    <t>ROJAS MENDOZA NATANAEL ELIAZER</t>
  </si>
  <si>
    <t>ROMALDO ALVA JUANA ALBINA</t>
  </si>
  <si>
    <t>RUBI ZOLANGE TADEO HUERTA</t>
  </si>
  <si>
    <t>SERVICIOS GENERALES JK COMPANY S.A.C.</t>
  </si>
  <si>
    <t>SOLORZANO SIRLUPU DANIEL ROMAN</t>
  </si>
  <si>
    <t>TUPAC NEVADO GISELA CARINA</t>
  </si>
  <si>
    <t>VARGAS VARGAS ADRIANA MILAGROS</t>
  </si>
  <si>
    <t>VEND S.A.C.</t>
  </si>
  <si>
    <t>VILCAPOMA BANCES DANIELA SILENE</t>
  </si>
  <si>
    <t>VILLACORTA MUSAYON AMANDA</t>
  </si>
  <si>
    <t>VILLEGAS CORDOVA VILMA</t>
  </si>
  <si>
    <t>WASKA S.A.C.</t>
  </si>
  <si>
    <t>ANTONIO CHAVEZ</t>
  </si>
  <si>
    <t>A.CHAVEZ</t>
  </si>
  <si>
    <t>ALDAL CORPORATION E.I.R.L.</t>
  </si>
  <si>
    <t>AMAT INVERSIONES S.A.C.</t>
  </si>
  <si>
    <t>ANGULO PEREZ FIORELLA PIERINA</t>
  </si>
  <si>
    <t>ARIZAGA GOMEZ KATYA PAOLA</t>
  </si>
  <si>
    <t>COSUMO SOCIEDAD ANONIMA CERRADA</t>
  </si>
  <si>
    <t>ESTRADA RAMOS ELA</t>
  </si>
  <si>
    <t>KOLORFUL KOTTON E.I.R.L.</t>
  </si>
  <si>
    <t>LOYOLA ACUÑA NOREMAN SCOTT</t>
  </si>
  <si>
    <t>MONASTERIO DE SANTA CATALINA DE SEND</t>
  </si>
  <si>
    <t>DIANA MARCOS</t>
  </si>
  <si>
    <t>Anàlisis s/.:</t>
  </si>
  <si>
    <t>Anàlisis (kg):</t>
  </si>
  <si>
    <t>CRIS ARMAS</t>
  </si>
  <si>
    <t>MES DE OCTUBRE</t>
  </si>
  <si>
    <t>Suma de IMPORTE (S/.)</t>
  </si>
  <si>
    <t>Suma de CANTIDAD (KG)</t>
  </si>
  <si>
    <t>MESES</t>
  </si>
  <si>
    <t>INDICADORES COMERCIALES 2026</t>
  </si>
  <si>
    <t>CORPORACION ALIMENTARIA SUIZA</t>
  </si>
  <si>
    <t>FIBRAS UNIDAS</t>
  </si>
  <si>
    <t>TEXGROUP</t>
  </si>
  <si>
    <t>MISHA AND PUFF</t>
  </si>
  <si>
    <t>SISTER KIDS</t>
  </si>
  <si>
    <t>TEXTIL DEL VALLE</t>
  </si>
  <si>
    <t xml:space="preserve">TEXTIL BABY FASHION </t>
  </si>
  <si>
    <t>CLIENTES TRASPASADOS</t>
  </si>
  <si>
    <t>ACTUALMENTE</t>
  </si>
  <si>
    <t>QUITANDO LOS CLIENTES</t>
  </si>
  <si>
    <t>CONFECCIONES LANCASTER</t>
  </si>
  <si>
    <t>BERNACHEA CARHUACHUCO MAURICIO</t>
  </si>
  <si>
    <t>VENATOR</t>
  </si>
  <si>
    <t>ROYAL KNIT SAC</t>
  </si>
  <si>
    <t>SUR COLOR</t>
  </si>
  <si>
    <t>CINTAS TEXTILES DEL PERU S.A.C.</t>
  </si>
  <si>
    <t>COTTON CREATIONS SAC</t>
  </si>
  <si>
    <t>DORA CONROY S.R.L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</si>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</sst>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S/-280A]\ * #,##0.00_-;\-[$S/-280A]\ * #,##0.00_-;_-[$S/-280A]\ * &quot;-&quot;??_-;_-@_-"/>
    <numFmt numFmtId="165" formatCode="0.0%"/>
    <numFmt numFmtId="166" formatCode="&quot;S/&quot;\ #,##0.00"/>
    <numFmt numFmtId="167" formatCode="&quot;S/&quot;\ 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4"/>
      <name val="Aptos Narrow"/>
      <family val="2"/>
      <scheme val="minor"/>
    </font>
    <font>
      <b/>
      <i/>
      <sz val="14"/>
      <color rgb="FF0000FF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6"/>
      <color rgb="FF3333CC"/>
      <name val="Aptos Narrow"/>
      <family val="2"/>
      <scheme val="minor"/>
    </font>
    <font>
      <b/>
      <sz val="2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/>
      <top style="thin">
        <color theme="7" tint="0.79998168889431442"/>
      </top>
      <bottom style="thin">
        <color theme="7" tint="0.79998168889431442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0" xfId="0" quotePrefix="1"/>
    <xf numFmtId="9" fontId="0" fillId="0" borderId="0" xfId="0" applyNumberFormat="1"/>
    <xf numFmtId="0" fontId="0" fillId="0" borderId="0" xfId="0" applyAlignment="1">
      <alignment horizontal="left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164" fontId="0" fillId="0" borderId="0" xfId="0" applyNumberFormat="1"/>
    <xf numFmtId="164" fontId="0" fillId="0" borderId="1" xfId="0" applyNumberFormat="1" applyBorder="1"/>
    <xf numFmtId="0" fontId="2" fillId="0" borderId="0" xfId="0" pivotButton="1" applyFont="1"/>
    <xf numFmtId="164" fontId="5" fillId="0" borderId="0" xfId="0" applyNumberFormat="1" applyFont="1"/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164" fontId="0" fillId="3" borderId="1" xfId="0" applyNumberFormat="1" applyFill="1" applyBorder="1"/>
    <xf numFmtId="9" fontId="5" fillId="0" borderId="1" xfId="1" applyFont="1" applyBorder="1" applyAlignment="1">
      <alignment horizontal="center" wrapText="1"/>
    </xf>
    <xf numFmtId="164" fontId="0" fillId="0" borderId="2" xfId="0" applyNumberFormat="1" applyBorder="1"/>
    <xf numFmtId="0" fontId="0" fillId="0" borderId="3" xfId="0" applyBorder="1"/>
    <xf numFmtId="0" fontId="0" fillId="4" borderId="0" xfId="0" applyFill="1"/>
    <xf numFmtId="0" fontId="5" fillId="0" borderId="0" xfId="0" applyFont="1"/>
    <xf numFmtId="9" fontId="0" fillId="0" borderId="0" xfId="1" applyFont="1"/>
    <xf numFmtId="0" fontId="7" fillId="0" borderId="0" xfId="0" applyFont="1" applyAlignment="1">
      <alignment vertical="center"/>
    </xf>
    <xf numFmtId="0" fontId="2" fillId="3" borderId="0" xfId="0" applyFont="1" applyFill="1" applyAlignment="1">
      <alignment horizontal="left"/>
    </xf>
    <xf numFmtId="165" fontId="0" fillId="0" borderId="0" xfId="1" applyNumberFormat="1" applyFont="1"/>
    <xf numFmtId="164" fontId="8" fillId="0" borderId="0" xfId="0" applyNumberFormat="1" applyFont="1" applyAlignment="1">
      <alignment horizontal="center"/>
    </xf>
    <xf numFmtId="4" fontId="10" fillId="0" borderId="0" xfId="0" applyNumberFormat="1" applyFont="1"/>
    <xf numFmtId="4" fontId="8" fillId="0" borderId="0" xfId="0" applyNumberFormat="1" applyFont="1"/>
    <xf numFmtId="164" fontId="10" fillId="0" borderId="0" xfId="0" applyNumberFormat="1" applyFont="1"/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/>
    <xf numFmtId="0" fontId="3" fillId="0" borderId="0" xfId="0" pivotButton="1" applyFont="1"/>
    <xf numFmtId="0" fontId="3" fillId="0" borderId="0" xfId="0" applyFont="1"/>
    <xf numFmtId="0" fontId="3" fillId="0" borderId="0" xfId="0" applyFont="1" applyAlignment="1">
      <alignment horizontal="center"/>
    </xf>
    <xf numFmtId="0" fontId="11" fillId="3" borderId="4" xfId="0" applyFont="1" applyFill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164" fontId="9" fillId="3" borderId="2" xfId="0" applyNumberFormat="1" applyFont="1" applyFill="1" applyBorder="1" applyAlignment="1">
      <alignment horizontal="center"/>
    </xf>
    <xf numFmtId="9" fontId="12" fillId="3" borderId="4" xfId="1" applyFont="1" applyFill="1" applyBorder="1" applyAlignment="1">
      <alignment horizontal="center"/>
    </xf>
    <xf numFmtId="0" fontId="0" fillId="0" borderId="0" xfId="0" pivotButton="1"/>
    <xf numFmtId="0" fontId="3" fillId="0" borderId="0" xfId="0" applyFont="1" applyAlignment="1">
      <alignment horizontal="left"/>
    </xf>
    <xf numFmtId="0" fontId="10" fillId="0" borderId="0" xfId="0" pivotButton="1" applyFont="1"/>
    <xf numFmtId="0" fontId="10" fillId="0" borderId="0" xfId="0" pivotButton="1" applyFont="1" applyAlignment="1">
      <alignment horizontal="left"/>
    </xf>
    <xf numFmtId="164" fontId="8" fillId="0" borderId="0" xfId="0" applyNumberFormat="1" applyFont="1" applyAlignment="1">
      <alignment horizontal="left"/>
    </xf>
    <xf numFmtId="166" fontId="10" fillId="0" borderId="0" xfId="0" applyNumberFormat="1" applyFont="1" applyAlignment="1">
      <alignment horizontal="left"/>
    </xf>
    <xf numFmtId="0" fontId="0" fillId="0" borderId="0" xfId="0" pivotButton="1" applyAlignment="1">
      <alignment horizontal="left"/>
    </xf>
    <xf numFmtId="4" fontId="10" fillId="0" borderId="0" xfId="0" applyNumberFormat="1" applyFont="1" applyAlignment="1">
      <alignment horizontal="left"/>
    </xf>
    <xf numFmtId="0" fontId="13" fillId="0" borderId="0" xfId="0" applyFont="1"/>
    <xf numFmtId="0" fontId="14" fillId="0" borderId="0" xfId="0" applyFont="1" applyAlignment="1">
      <alignment horizontal="left"/>
    </xf>
    <xf numFmtId="4" fontId="0" fillId="0" borderId="0" xfId="0" applyNumberFormat="1"/>
    <xf numFmtId="4" fontId="3" fillId="0" borderId="0" xfId="0" applyNumberFormat="1" applyFont="1" applyAlignment="1">
      <alignment horizontal="center"/>
    </xf>
    <xf numFmtId="166" fontId="10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3" fontId="10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/>
    </xf>
    <xf numFmtId="166" fontId="0" fillId="0" borderId="0" xfId="0" applyNumberFormat="1"/>
    <xf numFmtId="0" fontId="2" fillId="0" borderId="4" xfId="0" applyFon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66" fontId="0" fillId="3" borderId="4" xfId="0" applyNumberFormat="1" applyFill="1" applyBorder="1" applyAlignment="1">
      <alignment horizontal="center"/>
    </xf>
    <xf numFmtId="0" fontId="2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9" xfId="0" applyFont="1" applyBorder="1"/>
    <xf numFmtId="0" fontId="2" fillId="0" borderId="11" xfId="0" applyFont="1" applyBorder="1" applyAlignment="1">
      <alignment horizontal="center"/>
    </xf>
    <xf numFmtId="166" fontId="0" fillId="3" borderId="11" xfId="0" applyNumberFormat="1" applyFill="1" applyBorder="1" applyAlignment="1">
      <alignment horizontal="center"/>
    </xf>
    <xf numFmtId="0" fontId="0" fillId="0" borderId="12" xfId="0" applyBorder="1"/>
    <xf numFmtId="166" fontId="0" fillId="0" borderId="13" xfId="0" applyNumberFormat="1" applyBorder="1"/>
    <xf numFmtId="0" fontId="5" fillId="0" borderId="12" xfId="0" applyFont="1" applyBorder="1"/>
    <xf numFmtId="166" fontId="15" fillId="0" borderId="0" xfId="0" applyNumberFormat="1" applyFont="1"/>
    <xf numFmtId="166" fontId="15" fillId="0" borderId="13" xfId="0" applyNumberFormat="1" applyFont="1" applyBorder="1"/>
    <xf numFmtId="166" fontId="2" fillId="0" borderId="0" xfId="0" applyNumberFormat="1" applyFont="1"/>
    <xf numFmtId="166" fontId="2" fillId="0" borderId="13" xfId="0" applyNumberFormat="1" applyFont="1" applyBorder="1"/>
    <xf numFmtId="0" fontId="0" fillId="0" borderId="14" xfId="0" applyBorder="1"/>
    <xf numFmtId="166" fontId="0" fillId="0" borderId="15" xfId="0" applyNumberFormat="1" applyBorder="1"/>
    <xf numFmtId="166" fontId="0" fillId="0" borderId="16" xfId="0" applyNumberFormat="1" applyBorder="1"/>
    <xf numFmtId="166" fontId="2" fillId="0" borderId="0" xfId="0" applyNumberFormat="1" applyFont="1" applyAlignment="1">
      <alignment horizontal="center"/>
    </xf>
    <xf numFmtId="166" fontId="2" fillId="0" borderId="13" xfId="0" applyNumberFormat="1" applyFon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13" xfId="0" applyNumberFormat="1" applyBorder="1" applyAlignment="1">
      <alignment horizontal="center"/>
    </xf>
    <xf numFmtId="0" fontId="0" fillId="0" borderId="17" xfId="0" applyBorder="1"/>
    <xf numFmtId="166" fontId="15" fillId="0" borderId="0" xfId="0" applyNumberFormat="1" applyFont="1" applyAlignment="1">
      <alignment horizontal="center"/>
    </xf>
    <xf numFmtId="166" fontId="15" fillId="0" borderId="13" xfId="0" applyNumberFormat="1" applyFont="1" applyBorder="1" applyAlignment="1">
      <alignment horizontal="center"/>
    </xf>
    <xf numFmtId="166" fontId="2" fillId="6" borderId="4" xfId="0" applyNumberFormat="1" applyFont="1" applyFill="1" applyBorder="1" applyAlignment="1">
      <alignment horizontal="center"/>
    </xf>
    <xf numFmtId="166" fontId="2" fillId="6" borderId="11" xfId="0" applyNumberFormat="1" applyFont="1" applyFill="1" applyBorder="1" applyAlignment="1">
      <alignment horizontal="center"/>
    </xf>
    <xf numFmtId="166" fontId="2" fillId="6" borderId="18" xfId="0" applyNumberFormat="1" applyFont="1" applyFill="1" applyBorder="1" applyAlignment="1">
      <alignment horizontal="center"/>
    </xf>
    <xf numFmtId="166" fontId="2" fillId="6" borderId="19" xfId="0" applyNumberFormat="1" applyFont="1" applyFill="1" applyBorder="1" applyAlignment="1">
      <alignment horizontal="center"/>
    </xf>
    <xf numFmtId="0" fontId="17" fillId="0" borderId="0" xfId="0" applyFont="1" applyAlignment="1">
      <alignment horizontal="left"/>
    </xf>
    <xf numFmtId="166" fontId="0" fillId="6" borderId="4" xfId="0" applyNumberFormat="1" applyFill="1" applyBorder="1" applyAlignment="1">
      <alignment horizontal="center"/>
    </xf>
    <xf numFmtId="0" fontId="2" fillId="0" borderId="12" xfId="0" applyFont="1" applyBorder="1"/>
    <xf numFmtId="0" fontId="0" fillId="0" borderId="13" xfId="0" applyBorder="1"/>
    <xf numFmtId="166" fontId="0" fillId="6" borderId="11" xfId="0" applyNumberFormat="1" applyFill="1" applyBorder="1" applyAlignment="1">
      <alignment horizontal="center"/>
    </xf>
    <xf numFmtId="0" fontId="0" fillId="0" borderId="16" xfId="0" applyBorder="1"/>
    <xf numFmtId="0" fontId="0" fillId="0" borderId="6" xfId="0" applyBorder="1"/>
    <xf numFmtId="166" fontId="0" fillId="0" borderId="7" xfId="0" applyNumberFormat="1" applyBorder="1"/>
    <xf numFmtId="0" fontId="0" fillId="0" borderId="15" xfId="0" applyBorder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166" fontId="0" fillId="7" borderId="0" xfId="0" applyNumberFormat="1" applyFill="1"/>
    <xf numFmtId="0" fontId="7" fillId="0" borderId="0" xfId="0" applyFont="1"/>
    <xf numFmtId="4" fontId="0" fillId="7" borderId="0" xfId="0" applyNumberFormat="1" applyFill="1"/>
    <xf numFmtId="3" fontId="0" fillId="7" borderId="0" xfId="0" applyNumberFormat="1" applyFill="1"/>
    <xf numFmtId="0" fontId="16" fillId="0" borderId="15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0" xfId="0" applyFont="1" applyAlignment="1">
      <alignment horizontal="center"/>
    </xf>
  </cellXfs>
  <cellStyles count="2">
    <cellStyle name="Normal" xfId="0" builtinId="0"/>
    <cellStyle name="Porcentaje" xfId="1" builtinId="5"/>
  </cellStyles>
  <dxfs count="186">
    <dxf>
      <alignment wrapText="1"/>
    </dxf>
    <dxf>
      <numFmt numFmtId="164" formatCode="_-[$S/-280A]\ * #,##0.00_-;\-[$S/-280A]\ * #,##0.00_-;_-[$S/-280A]\ * &quot;-&quot;??_-;_-@_-"/>
    </dxf>
    <dxf>
      <numFmt numFmtId="164" formatCode="_-[$S/-280A]\ * #,##0.00_-;\-[$S/-280A]\ * #,##0.00_-;_-[$S/-280A]\ * &quot;-&quot;??_-;_-@_-"/>
    </dxf>
    <dxf>
      <font>
        <b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font>
        <b/>
      </font>
    </dxf>
    <dxf>
      <alignment horizontal="right"/>
    </dxf>
    <dxf>
      <font>
        <sz val="12"/>
      </font>
    </dxf>
    <dxf>
      <font>
        <b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4" formatCode="#,##0.0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4" formatCode="#,##0.00"/>
    </dxf>
    <dxf>
      <font>
        <b/>
      </font>
    </dxf>
    <dxf>
      <numFmt numFmtId="167" formatCode="&quot;S/&quot;\ #,##0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b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  <color auto="1"/>
      </font>
      <numFmt numFmtId="164" formatCode="_-[$S/-280A]\ * #,##0.00_-;\-[$S/-280A]\ * #,##0.00_-;_-[$S/-280A]\ * &quot;-&quot;??_-;_-@_-"/>
      <alignment horizontal="center"/>
    </dxf>
    <dxf>
      <numFmt numFmtId="166" formatCode="&quot;S/&quot;\ #,##0.00"/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 val="0"/>
      </font>
    </dxf>
    <dxf>
      <font>
        <b val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 val="0"/>
      </font>
    </dxf>
    <dxf>
      <font>
        <b/>
      </font>
    </dxf>
    <dxf>
      <font>
        <b/>
      </font>
    </dxf>
    <dxf>
      <fill>
        <patternFill patternType="none">
          <fgColor indexed="64"/>
          <bgColor indexed="65"/>
        </patternFill>
      </fill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 val="0"/>
      </font>
    </dxf>
    <dxf>
      <font>
        <b val="0"/>
      </font>
    </dxf>
    <dxf>
      <font>
        <color auto="1"/>
      </font>
    </dxf>
    <dxf>
      <font>
        <color auto="1"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  <color rgb="FFFF0000"/>
      </font>
    </dxf>
    <dxf>
      <font>
        <b/>
        <color rgb="FFFF0000"/>
      </font>
    </dxf>
    <dxf>
      <font>
        <color rgb="FFFF0000"/>
      </font>
    </dxf>
    <dxf>
      <font>
        <b/>
      </font>
    </dxf>
    <dxf>
      <font>
        <b val="0"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color auto="1"/>
      </font>
    </dxf>
    <dxf>
      <font>
        <sz val="12"/>
      </font>
      <alignment horizontal="center"/>
    </dxf>
    <dxf>
      <font>
        <sz val="12"/>
      </font>
      <alignment horizontal="center"/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 val="0"/>
      </font>
    </dxf>
    <dxf>
      <fill>
        <patternFill patternType="none">
          <bgColor auto="1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</font>
    </dxf>
    <dxf>
      <font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</font>
    </dxf>
    <dxf>
      <font>
        <color theme="1"/>
      </font>
    </dxf>
    <dxf>
      <font>
        <color rgb="FFFF0000"/>
      </font>
    </dxf>
    <dxf>
      <font>
        <b/>
      </font>
    </dxf>
    <dxf>
      <font>
        <b/>
      </font>
    </dxf>
    <dxf>
      <font>
        <color theme="1"/>
      </font>
    </dxf>
    <dxf>
      <font>
        <b val="0"/>
      </font>
    </dxf>
    <dxf>
      <numFmt numFmtId="4" formatCode="#,##0.00"/>
    </dxf>
    <dxf>
      <font>
        <b/>
      </font>
    </dxf>
    <dxf>
      <font>
        <color rgb="FFFF0000"/>
      </font>
    </dxf>
    <dxf>
      <font>
        <b/>
      </font>
    </dxf>
    <dxf>
      <font>
        <b val="0"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colors>
    <mruColors>
      <color rgb="FF3333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1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b="1" baseline="0">
                <a:solidFill>
                  <a:sysClr val="windowText" lastClr="000000"/>
                </a:solidFill>
              </a:rPr>
              <a:t>VOLUMEN DE VENTAS 24-25(KG)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'PLANTILLA- VOLUMEN DE VENTAS'!$B$1</c:f>
              <c:strCache>
                <c:ptCount val="1"/>
                <c:pt idx="0">
                  <c:v>VENTAS 2024 (KG)</c:v>
                </c:pt>
              </c:strCache>
            </c:strRef>
          </c:tx>
          <c:spPr>
            <a:solidFill>
              <a:schemeClr val="accent4">
                <a:tint val="43000"/>
              </a:schemeClr>
            </a:solidFill>
            <a:ln>
              <a:noFill/>
            </a:ln>
            <a:effectLst/>
          </c:spPr>
          <c:invertIfNegative val="0"/>
          <c:cat>
            <c:strRef>
              <c:f>'PLANTILLA- VOLUMEN DE VENTAS'!$A$2:$A$13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'PLANTILLA- VOLUMEN DE VENTAS'!$B$2:$B$13</c:f>
              <c:numCache>
                <c:formatCode>General</c:formatCode>
                <c:ptCount val="12"/>
                <c:pt idx="0">
                  <c:v>45942.89</c:v>
                </c:pt>
                <c:pt idx="1">
                  <c:v>73172.040000000008</c:v>
                </c:pt>
                <c:pt idx="2">
                  <c:v>77251.75</c:v>
                </c:pt>
                <c:pt idx="3">
                  <c:v>87655.51</c:v>
                </c:pt>
                <c:pt idx="4">
                  <c:v>96801.06</c:v>
                </c:pt>
                <c:pt idx="5">
                  <c:v>84485.290000000008</c:v>
                </c:pt>
                <c:pt idx="6">
                  <c:v>93512.750000000015</c:v>
                </c:pt>
                <c:pt idx="7">
                  <c:v>88751.43</c:v>
                </c:pt>
                <c:pt idx="8">
                  <c:v>76376.160000000003</c:v>
                </c:pt>
                <c:pt idx="9">
                  <c:v>85546.21</c:v>
                </c:pt>
                <c:pt idx="10">
                  <c:v>81675.31</c:v>
                </c:pt>
                <c:pt idx="11">
                  <c:v>64346.350000000006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33-4865-A42F-29500CFE945E}"/>
            </c:ext>
          </c:extLst>
        </c:ser>
        <c:ser>
          <c:idx val="2"/>
          <c:order val="2"/>
          <c:tx>
            <c:strRef>
              <c:f>'PLANTILLA- VOLUMEN DE VENTAS'!$D$1</c:f>
              <c:strCache>
                <c:ptCount val="1"/>
                <c:pt idx="0">
                  <c:v>VENTAS OBJETIVO (KG)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'PLANTILLA- VOLUMEN DE VENTAS'!$A$2:$A$13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'PLANTILLA- VOLUMEN DE VENTAS'!$D$2:$D$13</c:f>
              <c:numCache>
                <c:formatCode>General</c:formatCode>
                <c:ptCount val="12"/>
                <c:pt idx="0">
                  <c:v>55131.468000000001</c:v>
                </c:pt>
                <c:pt idx="1">
                  <c:v>87806.448000000004</c:v>
                </c:pt>
                <c:pt idx="2">
                  <c:v>92702.1</c:v>
                </c:pt>
                <c:pt idx="3">
                  <c:v>105186.61199999999</c:v>
                </c:pt>
                <c:pt idx="4">
                  <c:v>116161.272</c:v>
                </c:pt>
                <c:pt idx="5">
                  <c:v>101382.34800000001</c:v>
                </c:pt>
                <c:pt idx="6">
                  <c:v>112215.30000000002</c:v>
                </c:pt>
                <c:pt idx="7">
                  <c:v>106501.71599999999</c:v>
                </c:pt>
                <c:pt idx="8">
                  <c:v>91651.392000000007</c:v>
                </c:pt>
                <c:pt idx="9">
                  <c:v>102655.452</c:v>
                </c:pt>
                <c:pt idx="10">
                  <c:v>98010.372000000003</c:v>
                </c:pt>
                <c:pt idx="11">
                  <c:v>77215.62000000001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33-4865-A42F-29500CFE9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5682960"/>
        <c:axId val="21256848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'PLANTILLA- VOLUMEN DE VENTAS'!$C$1</c15:sqref>
                        </c15:formulaRef>
                      </c:ext>
                    </c:extLst>
                    <c:strCache>
                      <c:ptCount val="1"/>
                      <c:pt idx="0">
                        <c:v>VENTAS 2024 (S/.)</c:v>
                      </c:pt>
                    </c:strCache>
                  </c:strRef>
                </c:tx>
                <c:spPr>
                  <a:solidFill>
                    <a:schemeClr val="accent4">
                      <a:tint val="56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'PLANTILLA- VOLUMEN DE VENTAS'!$A$2:$A$13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'PLANTILLA- VOLUMEN DE VENTAS'!$C$2:$C$13</c15:sqref>
                        </c15:formulaRef>
                      </c:ext>
                    </c:extLst>
                    <c:numCache>
                      <c:formatCode>_-[$S/-280A]\ * #,##0.00_-;\-[$S/-280A]\ * #,##0.00_-;_-[$S/-280A]\ * "-"??_-;_-@_-</c:formatCode>
                      <c:ptCount val="12"/>
                      <c:pt idx="0">
                        <c:v>2579666.9900000002</c:v>
                      </c:pt>
                      <c:pt idx="1">
                        <c:v>3443322.83</c:v>
                      </c:pt>
                      <c:pt idx="2">
                        <c:v>3256508.88</c:v>
                      </c:pt>
                      <c:pt idx="3">
                        <c:v>4058295.92</c:v>
                      </c:pt>
                      <c:pt idx="4">
                        <c:v>4271469.55</c:v>
                      </c:pt>
                      <c:pt idx="5">
                        <c:v>3680527.31</c:v>
                      </c:pt>
                      <c:pt idx="6">
                        <c:v>4138506.0700000003</c:v>
                      </c:pt>
                      <c:pt idx="7">
                        <c:v>4097126.05</c:v>
                      </c:pt>
                      <c:pt idx="8">
                        <c:v>3604570.85</c:v>
                      </c:pt>
                      <c:pt idx="9">
                        <c:v>4131005.83</c:v>
                      </c:pt>
                      <c:pt idx="10">
                        <c:v>3949812.37</c:v>
                      </c:pt>
                      <c:pt idx="11">
                        <c:v>2988692.8200000003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233-4865-A42F-29500CFE945E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'PLANTILLA- VOLUMEN DE VENTAS'!$F$1</c15:sqref>
                        </c15:formulaRef>
                      </c:ext>
                    </c:extLst>
                    <c:strCache>
                      <c:ptCount val="1"/>
                      <c:pt idx="0">
                        <c:v>DIFERENCIA (KG)</c:v>
                      </c:pt>
                    </c:strCache>
                  </c:strRef>
                </c:tx>
                <c:spPr>
                  <a:solidFill>
                    <a:schemeClr val="accent4">
                      <a:tint val="94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'PLANTILLA- VOLUMEN DE VENTAS'!$A$2:$A$13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'PLANTILLA- VOLUMEN DE VENTAS'!$F$2:$F$13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11371.992000000006</c:v>
                      </c:pt>
                      <c:pt idx="1">
                        <c:v>-12732.898000000001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233-4865-A42F-29500CFE945E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'PLANTILLA- VOLUMEN DE VENTAS'!$G$1</c15:sqref>
                        </c15:formulaRef>
                      </c:ext>
                    </c:extLst>
                    <c:strCache>
                      <c:ptCount val="1"/>
                      <c:pt idx="0">
                        <c:v>VENTAS OBJETIVO (S/.)</c:v>
                      </c:pt>
                    </c:strCache>
                  </c:strRef>
                </c:tx>
                <c:spPr>
                  <a:solidFill>
                    <a:schemeClr val="accent4">
                      <a:shade val="93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'PLANTILLA- VOLUMEN DE VENTAS'!$A$2:$A$13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'PLANTILLA- VOLUMEN DE VENTAS'!$G$2:$G$13</c15:sqref>
                        </c15:formulaRef>
                      </c:ext>
                    </c:extLst>
                    <c:numCache>
                      <c:formatCode>_-[$S/-280A]\ * #,##0.00_-;\-[$S/-280A]\ * #,##0.00_-;_-[$S/-280A]\ * "-"??_-;_-@_-</c:formatCode>
                      <c:ptCount val="12"/>
                      <c:pt idx="0">
                        <c:v>3095600.3880000003</c:v>
                      </c:pt>
                      <c:pt idx="1">
                        <c:v>4131987.3960000002</c:v>
                      </c:pt>
                      <c:pt idx="2">
                        <c:v>3907810.656</c:v>
                      </c:pt>
                      <c:pt idx="3">
                        <c:v>4869955.1040000003</c:v>
                      </c:pt>
                      <c:pt idx="4">
                        <c:v>5125763.46</c:v>
                      </c:pt>
                      <c:pt idx="5">
                        <c:v>4416632.7719999999</c:v>
                      </c:pt>
                      <c:pt idx="6">
                        <c:v>4966207.284</c:v>
                      </c:pt>
                      <c:pt idx="7">
                        <c:v>4916551.26</c:v>
                      </c:pt>
                      <c:pt idx="8">
                        <c:v>4325485.0200000005</c:v>
                      </c:pt>
                      <c:pt idx="9">
                        <c:v>4957206.9960000003</c:v>
                      </c:pt>
                      <c:pt idx="10">
                        <c:v>4739774.8440000005</c:v>
                      </c:pt>
                      <c:pt idx="11">
                        <c:v>3586431.3840000005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233-4865-A42F-29500CFE945E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'PLANTILLA- VOLUMEN DE VENTAS'!$H$1</c15:sqref>
                        </c15:formulaRef>
                      </c:ext>
                    </c:extLst>
                    <c:strCache>
                      <c:ptCount val="1"/>
                      <c:pt idx="0">
                        <c:v>VENTAS REALIZADAS(S/.)</c:v>
                      </c:pt>
                    </c:strCache>
                  </c:strRef>
                </c:tx>
                <c:spPr>
                  <a:solidFill>
                    <a:schemeClr val="accent4">
                      <a:shade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'PLANTILLA- VOLUMEN DE VENTAS'!$A$2:$A$13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'PLANTILLA- VOLUMEN DE VENTAS'!$H$2:$H$13</c15:sqref>
                        </c15:formulaRef>
                      </c:ext>
                    </c:extLst>
                    <c:numCache>
                      <c:formatCode>_-[$S/-280A]\ * #,##0.00_-;\-[$S/-280A]\ * #,##0.00_-;_-[$S/-280A]\ * "-"??_-;_-@_-</c:formatCode>
                      <c:ptCount val="12"/>
                      <c:pt idx="0">
                        <c:v>2569941.02</c:v>
                      </c:pt>
                      <c:pt idx="1">
                        <c:v>2827362.13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233-4865-A42F-29500CFE945E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'PLANTILLA- VOLUMEN DE VENTAS'!$I$1</c15:sqref>
                        </c15:formulaRef>
                      </c:ext>
                    </c:extLst>
                    <c:strCache>
                      <c:ptCount val="1"/>
                      <c:pt idx="0">
                        <c:v>DIFERENCIA(S/.)</c:v>
                      </c:pt>
                    </c:strCache>
                  </c:strRef>
                </c:tx>
                <c:spPr>
                  <a:solidFill>
                    <a:schemeClr val="accent4">
                      <a:shade val="68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'PLANTILLA- VOLUMEN DE VENTAS'!$A$2:$A$13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'PLANTILLA- VOLUMEN DE VENTAS'!$I$2:$I$13</c15:sqref>
                        </c15:formulaRef>
                      </c:ext>
                    </c:extLst>
                    <c:numCache>
                      <c:formatCode>_-[$S/-280A]\ * #,##0.00_-;\-[$S/-280A]\ * #,##0.00_-;_-[$S/-280A]\ * "-"??_-;_-@_-</c:formatCode>
                      <c:ptCount val="12"/>
                      <c:pt idx="0">
                        <c:v>-525659.36800000025</c:v>
                      </c:pt>
                      <c:pt idx="1">
                        <c:v>-1304625.2660000003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233-4865-A42F-29500CFE945E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'PLANTILLA- VOLUMEN DE VENTAS'!$K$1</c15:sqref>
                        </c15:formulaRef>
                      </c:ext>
                    </c:extLst>
                    <c:strCache>
                      <c:ptCount val="1"/>
                      <c:pt idx="0">
                        <c:v>CUMPLIMIENTO S/.(%)</c:v>
                      </c:pt>
                    </c:strCache>
                  </c:strRef>
                </c:tx>
                <c:spPr>
                  <a:solidFill>
                    <a:schemeClr val="accent4">
                      <a:shade val="42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'PLANTILLA- VOLUMEN DE VENTAS'!$A$2:$A$13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'PLANTILLA- VOLUMEN DE VENTAS'!$K$2:$K$13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0">
                        <c:v>0.83019146462259708</c:v>
                      </c:pt>
                      <c:pt idx="1">
                        <c:v>0.68426204124849166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233-4865-A42F-29500CFE945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'PLANTILLA- VOLUMEN DE VENTAS'!$E$1</c:f>
              <c:strCache>
                <c:ptCount val="1"/>
                <c:pt idx="0">
                  <c:v>VENTAS REALIZADAS(KG)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5.7347670250896092E-2"/>
                  <c:y val="-5.337603416066186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233-4865-A42F-29500CFE94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'PLANTILLA- VOLUMEN DE VENTAS'!$A$2:$A$13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'PLANTILLA- VOLUMEN DE VENTAS'!$E$2:$E$13</c:f>
              <c:numCache>
                <c:formatCode>General</c:formatCode>
                <c:ptCount val="12"/>
                <c:pt idx="0">
                  <c:v>66503.460000000006</c:v>
                </c:pt>
                <c:pt idx="1">
                  <c:v>75073.55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33-4865-A42F-29500CFE9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5682960"/>
        <c:axId val="2125684880"/>
      </c:lineChart>
      <c:lineChart>
        <c:grouping val="standard"/>
        <c:varyColors val="0"/>
        <c:ser>
          <c:idx val="8"/>
          <c:order val="8"/>
          <c:tx>
            <c:strRef>
              <c:f>'PLANTILLA- VOLUMEN DE VENTAS'!$J$1</c:f>
              <c:strCache>
                <c:ptCount val="1"/>
                <c:pt idx="0">
                  <c:v>CUMPLIMIENTO KG(%)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'PLANTILLA- VOLUMEN DE VENTAS'!$A$2:$A$13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'PLANTILLA- VOLUMEN DE VENTAS'!$J$2:$J$13</c:f>
              <c:numCache>
                <c:formatCode>0%</c:formatCode>
                <c:ptCount val="12"/>
                <c:pt idx="0">
                  <c:v>1.2062704370578343</c:v>
                </c:pt>
                <c:pt idx="1">
                  <c:v>0.85498903224054801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233-4865-A42F-29500CFE9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348000"/>
        <c:axId val="65340320"/>
      </c:lineChart>
      <c:catAx>
        <c:axId val="212568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25684880"/>
        <c:crosses val="autoZero"/>
        <c:auto val="1"/>
        <c:lblAlgn val="ctr"/>
        <c:lblOffset val="100"/>
        <c:noMultiLvlLbl val="0"/>
      </c:catAx>
      <c:valAx>
        <c:axId val="212568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25682960"/>
        <c:crosses val="autoZero"/>
        <c:crossBetween val="between"/>
      </c:valAx>
      <c:valAx>
        <c:axId val="653403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348000"/>
        <c:crosses val="max"/>
        <c:crossBetween val="between"/>
      </c:valAx>
      <c:catAx>
        <c:axId val="653480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53403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2">
          <a:lumMod val="25000"/>
          <a:lumOff val="7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b="1">
                <a:solidFill>
                  <a:sysClr val="windowText" lastClr="000000"/>
                </a:solidFill>
              </a:rPr>
              <a:t>VOLUMEN DE VENTAS</a:t>
            </a:r>
            <a:r>
              <a:rPr lang="es-ES" b="1" baseline="0">
                <a:solidFill>
                  <a:sysClr val="windowText" lastClr="000000"/>
                </a:solidFill>
              </a:rPr>
              <a:t> 24-25(S/.)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'PLANTILLA- VOLUMEN DE VENTAS'!$C$1</c:f>
              <c:strCache>
                <c:ptCount val="1"/>
                <c:pt idx="0">
                  <c:v>VENTAS 2024 (S/.)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tint val="56000"/>
              </a:schemeClr>
            </a:solidFill>
            <a:ln>
              <a:noFill/>
            </a:ln>
            <a:effectLst/>
          </c:spPr>
          <c:invertIfNegative val="0"/>
          <c:cat>
            <c:strRef>
              <c:f>'PLANTILLA- VOLUMEN DE VENTAS'!$A$2:$A$13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  <c:extLst xmlns:c15="http://schemas.microsoft.com/office/drawing/2012/chart"/>
            </c:strRef>
          </c:cat>
          <c:val>
            <c:numRef>
              <c:f>'PLANTILLA- VOLUMEN DE VENTAS'!$C$2:$C$13</c:f>
              <c:numCache>
                <c:formatCode>_-[$S/-280A]\ * #,##0.00_-;\-[$S/-280A]\ * #,##0.00_-;_-[$S/-280A]\ * "-"??_-;_-@_-</c:formatCode>
                <c:ptCount val="12"/>
                <c:pt idx="0">
                  <c:v>2579666.9900000002</c:v>
                </c:pt>
                <c:pt idx="1">
                  <c:v>3443322.83</c:v>
                </c:pt>
                <c:pt idx="2">
                  <c:v>3256508.88</c:v>
                </c:pt>
                <c:pt idx="3">
                  <c:v>4058295.92</c:v>
                </c:pt>
                <c:pt idx="4">
                  <c:v>4271469.55</c:v>
                </c:pt>
                <c:pt idx="5">
                  <c:v>3680527.31</c:v>
                </c:pt>
                <c:pt idx="6">
                  <c:v>4138506.0700000003</c:v>
                </c:pt>
                <c:pt idx="7">
                  <c:v>4097126.05</c:v>
                </c:pt>
                <c:pt idx="8">
                  <c:v>3604570.85</c:v>
                </c:pt>
                <c:pt idx="9">
                  <c:v>4131005.83</c:v>
                </c:pt>
                <c:pt idx="10">
                  <c:v>3949812.37</c:v>
                </c:pt>
                <c:pt idx="11">
                  <c:v>2988692.8200000003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5-89B6-4A29-A945-C32072771C3E}"/>
            </c:ext>
          </c:extLst>
        </c:ser>
        <c:ser>
          <c:idx val="5"/>
          <c:order val="5"/>
          <c:tx>
            <c:strRef>
              <c:f>'PLANTILLA- VOLUMEN DE VENTAS'!$G$1</c:f>
              <c:strCache>
                <c:ptCount val="1"/>
                <c:pt idx="0">
                  <c:v>VENTAS OBJETIVO (S/.)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'PLANTILLA- VOLUMEN DE VENTAS'!$A$2:$A$13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  <c:extLst xmlns:c15="http://schemas.microsoft.com/office/drawing/2012/chart"/>
            </c:strRef>
          </c:cat>
          <c:val>
            <c:numRef>
              <c:f>'PLANTILLA- VOLUMEN DE VENTAS'!$G$2:$G$13</c:f>
              <c:numCache>
                <c:formatCode>_-[$S/-280A]\ * #,##0.00_-;\-[$S/-280A]\ * #,##0.00_-;_-[$S/-280A]\ * "-"??_-;_-@_-</c:formatCode>
                <c:ptCount val="12"/>
                <c:pt idx="0">
                  <c:v>3095600.3880000003</c:v>
                </c:pt>
                <c:pt idx="1">
                  <c:v>4131987.3960000002</c:v>
                </c:pt>
                <c:pt idx="2">
                  <c:v>3907810.656</c:v>
                </c:pt>
                <c:pt idx="3">
                  <c:v>4869955.1040000003</c:v>
                </c:pt>
                <c:pt idx="4">
                  <c:v>5125763.46</c:v>
                </c:pt>
                <c:pt idx="5">
                  <c:v>4416632.7719999999</c:v>
                </c:pt>
                <c:pt idx="6">
                  <c:v>4966207.284</c:v>
                </c:pt>
                <c:pt idx="7">
                  <c:v>4916551.26</c:v>
                </c:pt>
                <c:pt idx="8">
                  <c:v>4325485.0200000005</c:v>
                </c:pt>
                <c:pt idx="9">
                  <c:v>4957206.9960000003</c:v>
                </c:pt>
                <c:pt idx="10">
                  <c:v>4739774.8440000005</c:v>
                </c:pt>
                <c:pt idx="11">
                  <c:v>3586431.3840000005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7-89B6-4A29-A945-C32072771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5682960"/>
        <c:axId val="21256848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'PLANTILLA- VOLUMEN DE VENTAS'!$B$1</c15:sqref>
                        </c15:formulaRef>
                      </c:ext>
                    </c:extLst>
                    <c:strCache>
                      <c:ptCount val="1"/>
                      <c:pt idx="0">
                        <c:v>VENTAS 2024 (KG)</c:v>
                      </c:pt>
                    </c:strCache>
                  </c:strRef>
                </c:tx>
                <c:spPr>
                  <a:solidFill>
                    <a:schemeClr val="accent4">
                      <a:tint val="43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'PLANTILLA- VOLUMEN DE VENTAS'!$A$2:$A$13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'PLANTILLA- VOLUMEN DE VENTAS'!$B$2:$B$13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45942.89</c:v>
                      </c:pt>
                      <c:pt idx="1">
                        <c:v>73172.040000000008</c:v>
                      </c:pt>
                      <c:pt idx="2">
                        <c:v>77251.75</c:v>
                      </c:pt>
                      <c:pt idx="3">
                        <c:v>87655.51</c:v>
                      </c:pt>
                      <c:pt idx="4">
                        <c:v>96801.06</c:v>
                      </c:pt>
                      <c:pt idx="5">
                        <c:v>84485.290000000008</c:v>
                      </c:pt>
                      <c:pt idx="6">
                        <c:v>93512.750000000015</c:v>
                      </c:pt>
                      <c:pt idx="7">
                        <c:v>88751.43</c:v>
                      </c:pt>
                      <c:pt idx="8">
                        <c:v>76376.160000000003</c:v>
                      </c:pt>
                      <c:pt idx="9">
                        <c:v>85546.21</c:v>
                      </c:pt>
                      <c:pt idx="10">
                        <c:v>81675.31</c:v>
                      </c:pt>
                      <c:pt idx="11">
                        <c:v>64346.350000000006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9B6-4A29-A945-C32072771C3E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'PLANTILLA- VOLUMEN DE VENTAS'!$D$1</c15:sqref>
                        </c15:formulaRef>
                      </c:ext>
                    </c:extLst>
                    <c:strCache>
                      <c:ptCount val="1"/>
                      <c:pt idx="0">
                        <c:v>VENTAS OBJETIVO (KG)</c:v>
                      </c:pt>
                    </c:strCache>
                  </c:strRef>
                </c:tx>
                <c:spPr>
                  <a:solidFill>
                    <a:schemeClr val="accent4">
                      <a:tint val="69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'PLANTILLA- VOLUMEN DE VENTAS'!$A$2:$A$13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'PLANTILLA- VOLUMEN DE VENTAS'!$D$2:$D$13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55131.468000000001</c:v>
                      </c:pt>
                      <c:pt idx="1">
                        <c:v>87806.448000000004</c:v>
                      </c:pt>
                      <c:pt idx="2">
                        <c:v>92702.1</c:v>
                      </c:pt>
                      <c:pt idx="3">
                        <c:v>105186.61199999999</c:v>
                      </c:pt>
                      <c:pt idx="4">
                        <c:v>116161.272</c:v>
                      </c:pt>
                      <c:pt idx="5">
                        <c:v>101382.34800000001</c:v>
                      </c:pt>
                      <c:pt idx="6">
                        <c:v>112215.30000000002</c:v>
                      </c:pt>
                      <c:pt idx="7">
                        <c:v>106501.71599999999</c:v>
                      </c:pt>
                      <c:pt idx="8">
                        <c:v>91651.392000000007</c:v>
                      </c:pt>
                      <c:pt idx="9">
                        <c:v>102655.452</c:v>
                      </c:pt>
                      <c:pt idx="10">
                        <c:v>98010.372000000003</c:v>
                      </c:pt>
                      <c:pt idx="11">
                        <c:v>77215.62000000001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9B6-4A29-A945-C32072771C3E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'PLANTILLA- VOLUMEN DE VENTAS'!$F$1</c15:sqref>
                        </c15:formulaRef>
                      </c:ext>
                    </c:extLst>
                    <c:strCache>
                      <c:ptCount val="1"/>
                      <c:pt idx="0">
                        <c:v>DIFERENCIA (KG)</c:v>
                      </c:pt>
                    </c:strCache>
                  </c:strRef>
                </c:tx>
                <c:spPr>
                  <a:solidFill>
                    <a:schemeClr val="accent4">
                      <a:tint val="94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'PLANTILLA- VOLUMEN DE VENTAS'!$A$2:$A$13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'PLANTILLA- VOLUMEN DE VENTAS'!$F$2:$F$13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11371.992000000006</c:v>
                      </c:pt>
                      <c:pt idx="1">
                        <c:v>-12732.898000000001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9B6-4A29-A945-C32072771C3E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'PLANTILLA- VOLUMEN DE VENTAS'!$I$1</c15:sqref>
                        </c15:formulaRef>
                      </c:ext>
                    </c:extLst>
                    <c:strCache>
                      <c:ptCount val="1"/>
                      <c:pt idx="0">
                        <c:v>DIFERENCIA(S/.)</c:v>
                      </c:pt>
                    </c:strCache>
                  </c:strRef>
                </c:tx>
                <c:spPr>
                  <a:solidFill>
                    <a:schemeClr val="accent4">
                      <a:shade val="68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'PLANTILLA- VOLUMEN DE VENTAS'!$A$2:$A$13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'PLANTILLA- VOLUMEN DE VENTAS'!$I$2:$I$13</c15:sqref>
                        </c15:formulaRef>
                      </c:ext>
                    </c:extLst>
                    <c:numCache>
                      <c:formatCode>_-[$S/-280A]\ * #,##0.00_-;\-[$S/-280A]\ * #,##0.00_-;_-[$S/-280A]\ * "-"??_-;_-@_-</c:formatCode>
                      <c:ptCount val="12"/>
                      <c:pt idx="0">
                        <c:v>-525659.36800000025</c:v>
                      </c:pt>
                      <c:pt idx="1">
                        <c:v>-1304625.2660000003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9B6-4A29-A945-C32072771C3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6"/>
          <c:order val="6"/>
          <c:tx>
            <c:strRef>
              <c:f>'PLANTILLA- VOLUMEN DE VENTAS'!$H$1</c:f>
              <c:strCache>
                <c:ptCount val="1"/>
                <c:pt idx="0">
                  <c:v>VENTAS REALIZADAS(S/.)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'PLANTILLA- VOLUMEN DE VENTAS'!$A$2:$A$13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  <c:extLst xmlns:c15="http://schemas.microsoft.com/office/drawing/2012/chart"/>
            </c:strRef>
          </c:cat>
          <c:val>
            <c:numRef>
              <c:f>'PLANTILLA- VOLUMEN DE VENTAS'!$H$2:$H$13</c:f>
              <c:numCache>
                <c:formatCode>_-[$S/-280A]\ * #,##0.00_-;\-[$S/-280A]\ * #,##0.00_-;_-[$S/-280A]\ * "-"??_-;_-@_-</c:formatCode>
                <c:ptCount val="12"/>
                <c:pt idx="0">
                  <c:v>2569941.02</c:v>
                </c:pt>
                <c:pt idx="1">
                  <c:v>2827362.13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8-89B6-4A29-A945-C32072771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5682960"/>
        <c:axId val="2125684880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'PLANTILLA- VOLUMEN DE VENTAS'!$E$1</c15:sqref>
                        </c15:formulaRef>
                      </c:ext>
                    </c:extLst>
                    <c:strCache>
                      <c:ptCount val="1"/>
                      <c:pt idx="0">
                        <c:v>VENTAS REALIZADAS(KG)</c:v>
                      </c:pt>
                    </c:strCache>
                  </c:strRef>
                </c:tx>
                <c:spPr>
                  <a:ln w="19050" cap="rnd">
                    <a:solidFill>
                      <a:srgbClr val="00B05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2"/>
                    <c:layout>
                      <c:manualLayout>
                        <c:x val="-5.7347670250896092E-2"/>
                        <c:y val="-5.3376034160661865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89B6-4A29-A945-C32072771C3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E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'PLANTILLA- VOLUMEN DE VENTAS'!$A$2:$A$13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'PLANTILLA- VOLUMEN DE VENTAS'!$E$2:$E$13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66503.460000000006</c:v>
                      </c:pt>
                      <c:pt idx="1">
                        <c:v>75073.55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9B6-4A29-A945-C32072771C3E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'PLANTILLA- VOLUMEN DE VENTAS'!$J$1</c15:sqref>
                        </c15:formulaRef>
                      </c:ext>
                    </c:extLst>
                    <c:strCache>
                      <c:ptCount val="1"/>
                      <c:pt idx="0">
                        <c:v>CUMPLIMIENTO KG(%)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accent5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E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'PLANTILLA- VOLUMEN DE VENTAS'!$A$2:$A$13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'PLANTILLA- VOLUMEN DE VENTAS'!$J$2:$J$13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0">
                        <c:v>1.2062704370578343</c:v>
                      </c:pt>
                      <c:pt idx="1">
                        <c:v>0.85498903224054801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9B6-4A29-A945-C32072771C3E}"/>
                  </c:ext>
                </c:extLst>
              </c15:ser>
            </c15:filteredLineSeries>
          </c:ext>
        </c:extLst>
      </c:lineChart>
      <c:lineChart>
        <c:grouping val="stacked"/>
        <c:varyColors val="0"/>
        <c:ser>
          <c:idx val="9"/>
          <c:order val="9"/>
          <c:tx>
            <c:strRef>
              <c:f>'PLANTILLA- VOLUMEN DE VENTAS'!$K$1</c:f>
              <c:strCache>
                <c:ptCount val="1"/>
                <c:pt idx="0">
                  <c:v>CUMPLIMIENTO S/.(%)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3121387283236993E-2"/>
                  <c:y val="7.936507936507936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9B6-4A29-A945-C32072771C3E}"/>
                </c:ext>
              </c:extLst>
            </c:dLbl>
            <c:dLbl>
              <c:idx val="1"/>
              <c:layout>
                <c:manualLayout>
                  <c:x val="-2.3121387283236993E-2"/>
                  <c:y val="-3.43915343915344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9B6-4A29-A945-C32072771C3E}"/>
                </c:ext>
              </c:extLst>
            </c:dLbl>
            <c:dLbl>
              <c:idx val="2"/>
              <c:layout>
                <c:manualLayout>
                  <c:x val="-1.348747591522158E-2"/>
                  <c:y val="-7.936507936507936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9B6-4A29-A945-C32072771C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'PLANTILLA- VOLUMEN DE VENTAS'!$A$2:$A$13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  <c:extLst xmlns:c15="http://schemas.microsoft.com/office/drawing/2012/chart"/>
            </c:strRef>
          </c:cat>
          <c:val>
            <c:numRef>
              <c:f>'PLANTILLA- VOLUMEN DE VENTAS'!$K$2:$K$4</c:f>
              <c:numCache>
                <c:formatCode>0%</c:formatCode>
                <c:ptCount val="3"/>
                <c:pt idx="0">
                  <c:v>0.83019146462259708</c:v>
                </c:pt>
                <c:pt idx="1">
                  <c:v>0.68426204124849166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9B6-4A29-A945-C32072771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1919440"/>
        <c:axId val="1541918960"/>
      </c:lineChart>
      <c:catAx>
        <c:axId val="212568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25684880"/>
        <c:crosses val="autoZero"/>
        <c:auto val="1"/>
        <c:lblAlgn val="ctr"/>
        <c:lblOffset val="100"/>
        <c:noMultiLvlLbl val="0"/>
      </c:catAx>
      <c:valAx>
        <c:axId val="212568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S/-280A]\ * #,##0.00_-;\-[$S/-280A]\ * #,##0.00_-;_-[$S/-280A]\ 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25682960"/>
        <c:crosses val="autoZero"/>
        <c:crossBetween val="between"/>
      </c:valAx>
      <c:valAx>
        <c:axId val="154191896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41919440"/>
        <c:crosses val="max"/>
        <c:crossBetween val="between"/>
      </c:valAx>
      <c:catAx>
        <c:axId val="1541919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419189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2">
          <a:lumMod val="25000"/>
          <a:lumOff val="7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 COMERCIALES_VOLUMEN DE VENTAS 2026.xlsx]COMPARATIVO MENSUAL 2025!TablaDinámica2</c:name>
    <c:fmtId val="8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4"/>
            </a:solidFill>
            <a:ln w="9525" cap="flat" cmpd="sng" algn="ctr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463867895909994"/>
          <c:y val="0.1422957723504901"/>
          <c:w val="0.6449251506878223"/>
          <c:h val="0.61633672909530379"/>
        </c:manualLayout>
      </c:layout>
      <c:lineChart>
        <c:grouping val="standard"/>
        <c:varyColors val="0"/>
        <c:ser>
          <c:idx val="0"/>
          <c:order val="0"/>
          <c:tx>
            <c:strRef>
              <c:f>'COMPARATIVO MENSUAL 2025'!$C$3:$C$4</c:f>
              <c:strCache>
                <c:ptCount val="1"/>
                <c:pt idx="0">
                  <c:v>ALFREDO ASTOQUILLCA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'COMPARATIVO MENSUAL 2025'!$B$5:$B$7</c:f>
              <c:strCache>
                <c:ptCount val="2"/>
                <c:pt idx="0">
                  <c:v>ENERO</c:v>
                </c:pt>
                <c:pt idx="1">
                  <c:v>FEBRERO</c:v>
                </c:pt>
              </c:strCache>
            </c:strRef>
          </c:cat>
          <c:val>
            <c:numRef>
              <c:f>'COMPARATIVO MENSUAL 2025'!$C$5:$C$7</c:f>
              <c:numCache>
                <c:formatCode>_-[$S/-280A]\ * #,##0.00_-;\-[$S/-280A]\ * #,##0.00_-;_-[$S/-280A]\ * "-"??_-;_-@_-</c:formatCode>
                <c:ptCount val="2"/>
                <c:pt idx="0">
                  <c:v>622444.19999999995</c:v>
                </c:pt>
                <c:pt idx="1">
                  <c:v>770345.13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1B-4C31-A031-937D2D8A0354}"/>
            </c:ext>
          </c:extLst>
        </c:ser>
        <c:ser>
          <c:idx val="1"/>
          <c:order val="1"/>
          <c:tx>
            <c:strRef>
              <c:f>'COMPARATIVO MENSUAL 2025'!$D$3:$D$4</c:f>
              <c:strCache>
                <c:ptCount val="1"/>
                <c:pt idx="0">
                  <c:v>ANTONIO CHAVEZ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'COMPARATIVO MENSUAL 2025'!$B$5:$B$7</c:f>
              <c:strCache>
                <c:ptCount val="2"/>
                <c:pt idx="0">
                  <c:v>ENERO</c:v>
                </c:pt>
                <c:pt idx="1">
                  <c:v>FEBRERO</c:v>
                </c:pt>
              </c:strCache>
            </c:strRef>
          </c:cat>
          <c:val>
            <c:numRef>
              <c:f>'COMPARATIVO MENSUAL 2025'!$D$5:$D$7</c:f>
              <c:numCache>
                <c:formatCode>_-[$S/-280A]\ * #,##0.00_-;\-[$S/-280A]\ * #,##0.00_-;_-[$S/-280A]\ * "-"??_-;_-@_-</c:formatCode>
                <c:ptCount val="2"/>
                <c:pt idx="0">
                  <c:v>1217789.81</c:v>
                </c:pt>
                <c:pt idx="1">
                  <c:v>1066540.7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41-41B4-AD3A-87B4F441B437}"/>
            </c:ext>
          </c:extLst>
        </c:ser>
        <c:ser>
          <c:idx val="2"/>
          <c:order val="2"/>
          <c:tx>
            <c:strRef>
              <c:f>'COMPARATIVO MENSUAL 2025'!$E$3:$E$4</c:f>
              <c:strCache>
                <c:ptCount val="1"/>
                <c:pt idx="0">
                  <c:v>DIANA MARCOS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'COMPARATIVO MENSUAL 2025'!$B$5:$B$7</c:f>
              <c:strCache>
                <c:ptCount val="2"/>
                <c:pt idx="0">
                  <c:v>ENERO</c:v>
                </c:pt>
                <c:pt idx="1">
                  <c:v>FEBRERO</c:v>
                </c:pt>
              </c:strCache>
            </c:strRef>
          </c:cat>
          <c:val>
            <c:numRef>
              <c:f>'COMPARATIVO MENSUAL 2025'!$E$5:$E$7</c:f>
              <c:numCache>
                <c:formatCode>_-[$S/-280A]\ * #,##0.00_-;\-[$S/-280A]\ * #,##0.00_-;_-[$S/-280A]\ * "-"??_-;_-@_-</c:formatCode>
                <c:ptCount val="2"/>
                <c:pt idx="0">
                  <c:v>673049.92</c:v>
                </c:pt>
                <c:pt idx="1">
                  <c:v>868765.75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41-41B4-AD3A-87B4F441B437}"/>
            </c:ext>
          </c:extLst>
        </c:ser>
        <c:ser>
          <c:idx val="3"/>
          <c:order val="3"/>
          <c:tx>
            <c:strRef>
              <c:f>'COMPARATIVO MENSUAL 2025'!$F$3:$F$4</c:f>
              <c:strCache>
                <c:ptCount val="1"/>
                <c:pt idx="0">
                  <c:v>CRIS ARMAS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'COMPARATIVO MENSUAL 2025'!$B$5:$B$7</c:f>
              <c:strCache>
                <c:ptCount val="2"/>
                <c:pt idx="0">
                  <c:v>ENERO</c:v>
                </c:pt>
                <c:pt idx="1">
                  <c:v>FEBRERO</c:v>
                </c:pt>
              </c:strCache>
            </c:strRef>
          </c:cat>
          <c:val>
            <c:numRef>
              <c:f>'COMPARATIVO MENSUAL 2025'!$F$5:$F$7</c:f>
              <c:numCache>
                <c:formatCode>_-[$S/-280A]\ * #,##0.00_-;\-[$S/-280A]\ * #,##0.00_-;_-[$S/-280A]\ * "-"??_-;_-@_-</c:formatCode>
                <c:ptCount val="2"/>
                <c:pt idx="0">
                  <c:v>56657.09</c:v>
                </c:pt>
                <c:pt idx="1">
                  <c:v>121710.55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41-41B4-AD3A-87B4F441B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587721936"/>
        <c:axId val="1587727696"/>
      </c:lineChart>
      <c:catAx>
        <c:axId val="158772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87727696"/>
        <c:crosses val="autoZero"/>
        <c:auto val="1"/>
        <c:lblAlgn val="ctr"/>
        <c:lblOffset val="100"/>
        <c:noMultiLvlLbl val="0"/>
      </c:catAx>
      <c:valAx>
        <c:axId val="1587727696"/>
        <c:scaling>
          <c:orientation val="minMax"/>
        </c:scaling>
        <c:delete val="0"/>
        <c:axPos val="l"/>
        <c:numFmt formatCode="_-[$S/-280A]\ * #,##0.00_-;\-[$S/-280A]\ * #,##0.00_-;_-[$S/-280A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8772193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 COMERCIALES_VOLUMEN DE VENTAS 2026.xlsx]COMPARATIVO MENSUAL 2025!TablaDinámica3</c:name>
    <c:fmtId val="1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4"/>
            </a:solidFill>
            <a:ln w="9525" cap="flat" cmpd="sng" algn="ctr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'COMPARATIVO MENSUAL 2025'!$C$20:$C$21</c:f>
              <c:strCache>
                <c:ptCount val="1"/>
                <c:pt idx="0">
                  <c:v>ALFREDO ASTOQUILLCA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'COMPARATIVO MENSUAL 2025'!$B$22:$B$24</c:f>
              <c:strCache>
                <c:ptCount val="2"/>
                <c:pt idx="0">
                  <c:v>ENERO</c:v>
                </c:pt>
                <c:pt idx="1">
                  <c:v>FEBRERO</c:v>
                </c:pt>
              </c:strCache>
            </c:strRef>
          </c:cat>
          <c:val>
            <c:numRef>
              <c:f>'COMPARATIVO MENSUAL 2025'!$C$22:$C$24</c:f>
              <c:numCache>
                <c:formatCode>#,##0.00</c:formatCode>
                <c:ptCount val="2"/>
                <c:pt idx="0">
                  <c:v>20041.52</c:v>
                </c:pt>
                <c:pt idx="1">
                  <c:v>24654.9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6E-48F9-B1D0-CDE4A0DFD9B9}"/>
            </c:ext>
          </c:extLst>
        </c:ser>
        <c:ser>
          <c:idx val="1"/>
          <c:order val="1"/>
          <c:tx>
            <c:strRef>
              <c:f>'COMPARATIVO MENSUAL 2025'!$D$20:$D$21</c:f>
              <c:strCache>
                <c:ptCount val="1"/>
                <c:pt idx="0">
                  <c:v>ANTONIO CHAVEZ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'COMPARATIVO MENSUAL 2025'!$B$22:$B$24</c:f>
              <c:strCache>
                <c:ptCount val="2"/>
                <c:pt idx="0">
                  <c:v>ENERO</c:v>
                </c:pt>
                <c:pt idx="1">
                  <c:v>FEBRERO</c:v>
                </c:pt>
              </c:strCache>
            </c:strRef>
          </c:cat>
          <c:val>
            <c:numRef>
              <c:f>'COMPARATIVO MENSUAL 2025'!$D$22:$D$24</c:f>
              <c:numCache>
                <c:formatCode>#,##0.00</c:formatCode>
                <c:ptCount val="2"/>
                <c:pt idx="0">
                  <c:v>25654.98</c:v>
                </c:pt>
                <c:pt idx="1">
                  <c:v>24924.75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6E-48F9-B1D0-CDE4A0DFD9B9}"/>
            </c:ext>
          </c:extLst>
        </c:ser>
        <c:ser>
          <c:idx val="2"/>
          <c:order val="2"/>
          <c:tx>
            <c:strRef>
              <c:f>'COMPARATIVO MENSUAL 2025'!$E$20:$E$21</c:f>
              <c:strCache>
                <c:ptCount val="1"/>
                <c:pt idx="0">
                  <c:v>DIANA MARCOS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'COMPARATIVO MENSUAL 2025'!$B$22:$B$24</c:f>
              <c:strCache>
                <c:ptCount val="2"/>
                <c:pt idx="0">
                  <c:v>ENERO</c:v>
                </c:pt>
                <c:pt idx="1">
                  <c:v>FEBRERO</c:v>
                </c:pt>
              </c:strCache>
            </c:strRef>
          </c:cat>
          <c:val>
            <c:numRef>
              <c:f>'COMPARATIVO MENSUAL 2025'!$E$22:$E$24</c:f>
              <c:numCache>
                <c:formatCode>#,##0.00</c:formatCode>
                <c:ptCount val="2"/>
                <c:pt idx="0">
                  <c:v>19969</c:v>
                </c:pt>
                <c:pt idx="1">
                  <c:v>23026.92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6E-48F9-B1D0-CDE4A0DFD9B9}"/>
            </c:ext>
          </c:extLst>
        </c:ser>
        <c:ser>
          <c:idx val="3"/>
          <c:order val="3"/>
          <c:tx>
            <c:strRef>
              <c:f>'COMPARATIVO MENSUAL 2025'!$F$20:$F$21</c:f>
              <c:strCache>
                <c:ptCount val="1"/>
                <c:pt idx="0">
                  <c:v>CRIS ARMAS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'COMPARATIVO MENSUAL 2025'!$B$22:$B$24</c:f>
              <c:strCache>
                <c:ptCount val="2"/>
                <c:pt idx="0">
                  <c:v>ENERO</c:v>
                </c:pt>
                <c:pt idx="1">
                  <c:v>FEBRERO</c:v>
                </c:pt>
              </c:strCache>
            </c:strRef>
          </c:cat>
          <c:val>
            <c:numRef>
              <c:f>'COMPARATIVO MENSUAL 2025'!$F$22:$F$24</c:f>
              <c:numCache>
                <c:formatCode>#,##0.00</c:formatCode>
                <c:ptCount val="2"/>
                <c:pt idx="0">
                  <c:v>837.96</c:v>
                </c:pt>
                <c:pt idx="1">
                  <c:v>2466.98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6E-48F9-B1D0-CDE4A0DFD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976911120"/>
        <c:axId val="1976902480"/>
      </c:lineChart>
      <c:catAx>
        <c:axId val="197691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76902480"/>
        <c:crosses val="autoZero"/>
        <c:auto val="1"/>
        <c:lblAlgn val="ctr"/>
        <c:lblOffset val="100"/>
        <c:noMultiLvlLbl val="0"/>
      </c:catAx>
      <c:valAx>
        <c:axId val="1976902480"/>
        <c:scaling>
          <c:orientation val="minMax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7691112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 COMERCIALES_VOLUMEN DE VENTAS 2026.xlsx]COMPARATIVO MENSUAL 2025!TablaDinámica2</c:name>
    <c:fmtId val="47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4"/>
            </a:solidFill>
            <a:ln w="9525" cap="flat" cmpd="sng" algn="ctr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4"/>
            </a:solidFill>
            <a:ln w="9525" cap="flat" cmpd="sng" algn="ctr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463867895909994"/>
          <c:y val="0.1422957723504901"/>
          <c:w val="0.6449251506878223"/>
          <c:h val="0.616336729095303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'COMPARATIVO MENSUAL 2025'!$C$3:$C$4</c:f>
              <c:strCache>
                <c:ptCount val="1"/>
                <c:pt idx="0">
                  <c:v>ALFREDO ASTOQUILLCA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'COMPARATIVO MENSUAL 2025'!$B$5:$B$7</c:f>
              <c:strCache>
                <c:ptCount val="2"/>
                <c:pt idx="0">
                  <c:v>ENERO</c:v>
                </c:pt>
                <c:pt idx="1">
                  <c:v>FEBRERO</c:v>
                </c:pt>
              </c:strCache>
            </c:strRef>
          </c:cat>
          <c:val>
            <c:numRef>
              <c:f>'COMPARATIVO MENSUAL 2025'!$C$5:$C$7</c:f>
              <c:numCache>
                <c:formatCode>_-[$S/-280A]\ * #,##0.00_-;\-[$S/-280A]\ * #,##0.00_-;_-[$S/-280A]\ * "-"??_-;_-@_-</c:formatCode>
                <c:ptCount val="2"/>
                <c:pt idx="0">
                  <c:v>622444.19999999995</c:v>
                </c:pt>
                <c:pt idx="1">
                  <c:v>770345.13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F9-444C-9361-E913251CF92C}"/>
            </c:ext>
          </c:extLst>
        </c:ser>
        <c:ser>
          <c:idx val="1"/>
          <c:order val="1"/>
          <c:tx>
            <c:strRef>
              <c:f>'COMPARATIVO MENSUAL 2025'!$D$3:$D$4</c:f>
              <c:strCache>
                <c:ptCount val="1"/>
                <c:pt idx="0">
                  <c:v>ANTONIO CHAVEZ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'COMPARATIVO MENSUAL 2025'!$B$5:$B$7</c:f>
              <c:strCache>
                <c:ptCount val="2"/>
                <c:pt idx="0">
                  <c:v>ENERO</c:v>
                </c:pt>
                <c:pt idx="1">
                  <c:v>FEBRERO</c:v>
                </c:pt>
              </c:strCache>
            </c:strRef>
          </c:cat>
          <c:val>
            <c:numRef>
              <c:f>'COMPARATIVO MENSUAL 2025'!$D$5:$D$7</c:f>
              <c:numCache>
                <c:formatCode>_-[$S/-280A]\ * #,##0.00_-;\-[$S/-280A]\ * #,##0.00_-;_-[$S/-280A]\ * "-"??_-;_-@_-</c:formatCode>
                <c:ptCount val="2"/>
                <c:pt idx="0">
                  <c:v>1217789.81</c:v>
                </c:pt>
                <c:pt idx="1">
                  <c:v>1066540.7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BF-4B15-A7CB-5111445203CB}"/>
            </c:ext>
          </c:extLst>
        </c:ser>
        <c:ser>
          <c:idx val="2"/>
          <c:order val="2"/>
          <c:tx>
            <c:strRef>
              <c:f>'COMPARATIVO MENSUAL 2025'!$E$3:$E$4</c:f>
              <c:strCache>
                <c:ptCount val="1"/>
                <c:pt idx="0">
                  <c:v>DIANA MARCOS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'COMPARATIVO MENSUAL 2025'!$B$5:$B$7</c:f>
              <c:strCache>
                <c:ptCount val="2"/>
                <c:pt idx="0">
                  <c:v>ENERO</c:v>
                </c:pt>
                <c:pt idx="1">
                  <c:v>FEBRERO</c:v>
                </c:pt>
              </c:strCache>
            </c:strRef>
          </c:cat>
          <c:val>
            <c:numRef>
              <c:f>'COMPARATIVO MENSUAL 2025'!$E$5:$E$7</c:f>
              <c:numCache>
                <c:formatCode>_-[$S/-280A]\ * #,##0.00_-;\-[$S/-280A]\ * #,##0.00_-;_-[$S/-280A]\ * "-"??_-;_-@_-</c:formatCode>
                <c:ptCount val="2"/>
                <c:pt idx="0">
                  <c:v>673049.92</c:v>
                </c:pt>
                <c:pt idx="1">
                  <c:v>868765.75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BF-4B15-A7CB-5111445203CB}"/>
            </c:ext>
          </c:extLst>
        </c:ser>
        <c:ser>
          <c:idx val="3"/>
          <c:order val="3"/>
          <c:tx>
            <c:strRef>
              <c:f>'COMPARATIVO MENSUAL 2025'!$F$3:$F$4</c:f>
              <c:strCache>
                <c:ptCount val="1"/>
                <c:pt idx="0">
                  <c:v>CRIS ARMAS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'COMPARATIVO MENSUAL 2025'!$B$5:$B$7</c:f>
              <c:strCache>
                <c:ptCount val="2"/>
                <c:pt idx="0">
                  <c:v>ENERO</c:v>
                </c:pt>
                <c:pt idx="1">
                  <c:v>FEBRERO</c:v>
                </c:pt>
              </c:strCache>
            </c:strRef>
          </c:cat>
          <c:val>
            <c:numRef>
              <c:f>'COMPARATIVO MENSUAL 2025'!$F$5:$F$7</c:f>
              <c:numCache>
                <c:formatCode>_-[$S/-280A]\ * #,##0.00_-;\-[$S/-280A]\ * #,##0.00_-;_-[$S/-280A]\ * "-"??_-;_-@_-</c:formatCode>
                <c:ptCount val="2"/>
                <c:pt idx="0">
                  <c:v>56657.09</c:v>
                </c:pt>
                <c:pt idx="1">
                  <c:v>121710.55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BF-4B15-A7CB-5111445203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87721936"/>
        <c:axId val="1587727696"/>
      </c:barChart>
      <c:catAx>
        <c:axId val="158772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87727696"/>
        <c:crosses val="autoZero"/>
        <c:auto val="1"/>
        <c:lblAlgn val="ctr"/>
        <c:lblOffset val="100"/>
        <c:noMultiLvlLbl val="0"/>
      </c:catAx>
      <c:valAx>
        <c:axId val="1587727696"/>
        <c:scaling>
          <c:orientation val="minMax"/>
        </c:scaling>
        <c:delete val="0"/>
        <c:axPos val="l"/>
        <c:numFmt formatCode="_-[$S/-280A]\ * #,##0.00_-;\-[$S/-280A]\ * #,##0.00_-;_-[$S/-280A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8772193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 COMERCIALES_VOLUMEN DE VENTAS 2026.xlsx]COMPARATIVO MENSUAL 2025!TablaDinámica3</c:name>
    <c:fmtId val="3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4"/>
            </a:solidFill>
            <a:ln w="9525" cap="flat" cmpd="sng" algn="ctr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4"/>
            </a:solidFill>
            <a:ln w="9525" cap="flat" cmpd="sng" algn="ctr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dLbl>
          <c:idx val="0"/>
          <c:layout>
            <c:manualLayout>
              <c:x val="-1.116243094893847E-2"/>
              <c:y val="6.734004948698282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lumMod val="110000"/>
                  <a:satMod val="105000"/>
                  <a:tint val="67000"/>
                </a:schemeClr>
              </a:gs>
              <a:gs pos="50000">
                <a:schemeClr val="accent2">
                  <a:lumMod val="105000"/>
                  <a:satMod val="103000"/>
                  <a:tint val="73000"/>
                </a:schemeClr>
              </a:gs>
              <a:gs pos="100000">
                <a:schemeClr val="accent2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2">
                <a:shade val="95000"/>
              </a:schemeClr>
            </a:solidFill>
            <a:round/>
          </a:ln>
          <a:effectLst/>
        </c:spPr>
        <c:dLbl>
          <c:idx val="0"/>
          <c:layout>
            <c:manualLayout>
              <c:x val="1.1162430948938389E-2"/>
              <c:y val="-2.69360197947931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dLbl>
          <c:idx val="0"/>
          <c:layout>
            <c:manualLayout>
              <c:x val="2.6789834277452247E-2"/>
              <c:y val="6.734004948698251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 MENSUAL 2025'!$C$20:$C$21</c:f>
              <c:strCache>
                <c:ptCount val="1"/>
                <c:pt idx="0">
                  <c:v>ALFREDO ASTOQUILLCA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DF5B-4637-B365-151E6DD30780}"/>
              </c:ext>
            </c:extLst>
          </c:dPt>
          <c:dLbls>
            <c:dLbl>
              <c:idx val="1"/>
              <c:layout>
                <c:manualLayout>
                  <c:x val="-1.116243094893847E-2"/>
                  <c:y val="6.734004948698282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F5B-4637-B365-151E6DD307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'COMPARATIVO MENSUAL 2025'!$B$22:$B$24</c:f>
              <c:strCache>
                <c:ptCount val="2"/>
                <c:pt idx="0">
                  <c:v>ENERO</c:v>
                </c:pt>
                <c:pt idx="1">
                  <c:v>FEBRERO</c:v>
                </c:pt>
              </c:strCache>
            </c:strRef>
          </c:cat>
          <c:val>
            <c:numRef>
              <c:f>'COMPARATIVO MENSUAL 2025'!$C$22:$C$24</c:f>
              <c:numCache>
                <c:formatCode>#,##0.00</c:formatCode>
                <c:ptCount val="2"/>
                <c:pt idx="0">
                  <c:v>20041.52</c:v>
                </c:pt>
                <c:pt idx="1">
                  <c:v>24654.9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3F-4422-BB93-A98F4752CFA7}"/>
            </c:ext>
          </c:extLst>
        </c:ser>
        <c:ser>
          <c:idx val="1"/>
          <c:order val="1"/>
          <c:tx>
            <c:strRef>
              <c:f>'COMPARATIVO MENSUAL 2025'!$D$20:$D$21</c:f>
              <c:strCache>
                <c:ptCount val="1"/>
                <c:pt idx="0">
                  <c:v>ANTONIO CHAVEZ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F5B-4637-B365-151E6DD30780}"/>
              </c:ext>
            </c:extLst>
          </c:dPt>
          <c:dLbls>
            <c:dLbl>
              <c:idx val="1"/>
              <c:layout>
                <c:manualLayout>
                  <c:x val="1.1162430948938389E-2"/>
                  <c:y val="-2.693601979479312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F5B-4637-B365-151E6DD307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'COMPARATIVO MENSUAL 2025'!$B$22:$B$24</c:f>
              <c:strCache>
                <c:ptCount val="2"/>
                <c:pt idx="0">
                  <c:v>ENERO</c:v>
                </c:pt>
                <c:pt idx="1">
                  <c:v>FEBRERO</c:v>
                </c:pt>
              </c:strCache>
            </c:strRef>
          </c:cat>
          <c:val>
            <c:numRef>
              <c:f>'COMPARATIVO MENSUAL 2025'!$D$22:$D$24</c:f>
              <c:numCache>
                <c:formatCode>#,##0.00</c:formatCode>
                <c:ptCount val="2"/>
                <c:pt idx="0">
                  <c:v>25654.98</c:v>
                </c:pt>
                <c:pt idx="1">
                  <c:v>24924.75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3F-4422-BB93-A98F4752CFA7}"/>
            </c:ext>
          </c:extLst>
        </c:ser>
        <c:ser>
          <c:idx val="2"/>
          <c:order val="2"/>
          <c:tx>
            <c:strRef>
              <c:f>'COMPARATIVO MENSUAL 2025'!$E$20:$E$21</c:f>
              <c:strCache>
                <c:ptCount val="1"/>
                <c:pt idx="0">
                  <c:v>DIANA MARCOS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DF5B-4637-B365-151E6DD30780}"/>
              </c:ext>
            </c:extLst>
          </c:dPt>
          <c:dLbls>
            <c:dLbl>
              <c:idx val="1"/>
              <c:layout>
                <c:manualLayout>
                  <c:x val="2.6789834277452247E-2"/>
                  <c:y val="6.734004948698251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F5B-4637-B365-151E6DD307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'COMPARATIVO MENSUAL 2025'!$B$22:$B$24</c:f>
              <c:strCache>
                <c:ptCount val="2"/>
                <c:pt idx="0">
                  <c:v>ENERO</c:v>
                </c:pt>
                <c:pt idx="1">
                  <c:v>FEBRERO</c:v>
                </c:pt>
              </c:strCache>
            </c:strRef>
          </c:cat>
          <c:val>
            <c:numRef>
              <c:f>'COMPARATIVO MENSUAL 2025'!$E$22:$E$24</c:f>
              <c:numCache>
                <c:formatCode>#,##0.00</c:formatCode>
                <c:ptCount val="2"/>
                <c:pt idx="0">
                  <c:v>19969</c:v>
                </c:pt>
                <c:pt idx="1">
                  <c:v>23026.92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3F-4422-BB93-A98F4752CFA7}"/>
            </c:ext>
          </c:extLst>
        </c:ser>
        <c:ser>
          <c:idx val="3"/>
          <c:order val="3"/>
          <c:tx>
            <c:strRef>
              <c:f>'COMPARATIVO MENSUAL 2025'!$F$20:$F$21</c:f>
              <c:strCache>
                <c:ptCount val="1"/>
                <c:pt idx="0">
                  <c:v>CRIS ARMAS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'COMPARATIVO MENSUAL 2025'!$B$22:$B$24</c:f>
              <c:strCache>
                <c:ptCount val="2"/>
                <c:pt idx="0">
                  <c:v>ENERO</c:v>
                </c:pt>
                <c:pt idx="1">
                  <c:v>FEBRERO</c:v>
                </c:pt>
              </c:strCache>
            </c:strRef>
          </c:cat>
          <c:val>
            <c:numRef>
              <c:f>'COMPARATIVO MENSUAL 2025'!$F$22:$F$24</c:f>
              <c:numCache>
                <c:formatCode>#,##0.00</c:formatCode>
                <c:ptCount val="2"/>
                <c:pt idx="0">
                  <c:v>837.96</c:v>
                </c:pt>
                <c:pt idx="1">
                  <c:v>2466.98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3F-4422-BB93-A98F4752CF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76911120"/>
        <c:axId val="1976902480"/>
      </c:barChart>
      <c:catAx>
        <c:axId val="197691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76902480"/>
        <c:crosses val="autoZero"/>
        <c:auto val="1"/>
        <c:lblAlgn val="ctr"/>
        <c:lblOffset val="100"/>
        <c:noMultiLvlLbl val="0"/>
      </c:catAx>
      <c:valAx>
        <c:axId val="1976902480"/>
        <c:scaling>
          <c:orientation val="minMax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7691112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 COMERCIALES_VOLUMEN DE VENTAS 2026.xlsx]COMP_MEN_ASES 2024!TablaDinámica2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463867895909994"/>
          <c:y val="0.1422957723504901"/>
          <c:w val="0.6449251506878223"/>
          <c:h val="0.61633672909530379"/>
        </c:manualLayout>
      </c:layout>
      <c:lineChart>
        <c:grouping val="standard"/>
        <c:varyColors val="0"/>
        <c:ser>
          <c:idx val="0"/>
          <c:order val="0"/>
          <c:tx>
            <c:strRef>
              <c:f>'COMP_MEN_ASES 2024'!$B$3:$B$4</c:f>
              <c:strCache>
                <c:ptCount val="1"/>
                <c:pt idx="0">
                  <c:v>ALFREDO ASTOQUILLCA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'COMP_MEN_ASES 2024'!$A$5:$A$17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'COMP_MEN_ASES 2024'!$B$5:$B$17</c:f>
              <c:numCache>
                <c:formatCode>_-[$S/-280A]\ * #,##0.00_-;\-[$S/-280A]\ * #,##0.00_-;_-[$S/-280A]\ * "-"??_-;_-@_-</c:formatCode>
                <c:ptCount val="12"/>
                <c:pt idx="0">
                  <c:v>439540.08</c:v>
                </c:pt>
                <c:pt idx="1">
                  <c:v>550082.68000000005</c:v>
                </c:pt>
                <c:pt idx="2">
                  <c:v>553802.6</c:v>
                </c:pt>
                <c:pt idx="3">
                  <c:v>561735.9</c:v>
                </c:pt>
                <c:pt idx="4">
                  <c:v>467928.04</c:v>
                </c:pt>
                <c:pt idx="5">
                  <c:v>530121.32999999996</c:v>
                </c:pt>
                <c:pt idx="6">
                  <c:v>580804.49</c:v>
                </c:pt>
                <c:pt idx="7">
                  <c:v>563635.78</c:v>
                </c:pt>
                <c:pt idx="8">
                  <c:v>548585.11</c:v>
                </c:pt>
                <c:pt idx="9">
                  <c:v>655994.05000000005</c:v>
                </c:pt>
                <c:pt idx="10">
                  <c:v>593813.28</c:v>
                </c:pt>
                <c:pt idx="11">
                  <c:v>525928.78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67-419F-9FE8-2A3761467F81}"/>
            </c:ext>
          </c:extLst>
        </c:ser>
        <c:ser>
          <c:idx val="1"/>
          <c:order val="1"/>
          <c:tx>
            <c:strRef>
              <c:f>'COMP_MEN_ASES 2024'!$C$3:$C$4</c:f>
              <c:strCache>
                <c:ptCount val="1"/>
                <c:pt idx="0">
                  <c:v>FATIMA VARA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'COMP_MEN_ASES 2024'!$A$5:$A$17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'COMP_MEN_ASES 2024'!$C$5:$C$17</c:f>
              <c:numCache>
                <c:formatCode>_-[$S/-280A]\ * #,##0.00_-;\-[$S/-280A]\ * #,##0.00_-;_-[$S/-280A]\ * "-"??_-;_-@_-</c:formatCode>
                <c:ptCount val="12"/>
                <c:pt idx="0">
                  <c:v>581584.06000000006</c:v>
                </c:pt>
                <c:pt idx="1">
                  <c:v>528241.89</c:v>
                </c:pt>
                <c:pt idx="2">
                  <c:v>887878.26</c:v>
                </c:pt>
                <c:pt idx="3">
                  <c:v>1436877.74</c:v>
                </c:pt>
                <c:pt idx="4">
                  <c:v>1558190.81</c:v>
                </c:pt>
                <c:pt idx="5">
                  <c:v>982569.52</c:v>
                </c:pt>
                <c:pt idx="6">
                  <c:v>1218876.27</c:v>
                </c:pt>
                <c:pt idx="7">
                  <c:v>1169164.19</c:v>
                </c:pt>
                <c:pt idx="8">
                  <c:v>949706.26</c:v>
                </c:pt>
                <c:pt idx="9">
                  <c:v>1265005.74</c:v>
                </c:pt>
                <c:pt idx="10">
                  <c:v>1232407.54</c:v>
                </c:pt>
                <c:pt idx="11">
                  <c:v>911669.06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CB-4455-9C3D-1BCB4EAB5183}"/>
            </c:ext>
          </c:extLst>
        </c:ser>
        <c:ser>
          <c:idx val="2"/>
          <c:order val="2"/>
          <c:tx>
            <c:strRef>
              <c:f>'COMP_MEN_ASES 2024'!$D$3:$D$4</c:f>
              <c:strCache>
                <c:ptCount val="1"/>
                <c:pt idx="0">
                  <c:v>JUAN MEDINA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'COMP_MEN_ASES 2024'!$A$5:$A$17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'COMP_MEN_ASES 2024'!$D$5:$D$17</c:f>
              <c:numCache>
                <c:formatCode>_-[$S/-280A]\ * #,##0.00_-;\-[$S/-280A]\ * #,##0.00_-;_-[$S/-280A]\ * "-"??_-;_-@_-</c:formatCode>
                <c:ptCount val="12"/>
                <c:pt idx="0">
                  <c:v>1064001.99</c:v>
                </c:pt>
                <c:pt idx="1">
                  <c:v>1877299.8</c:v>
                </c:pt>
                <c:pt idx="2">
                  <c:v>1035890.39</c:v>
                </c:pt>
                <c:pt idx="3">
                  <c:v>1322449.48</c:v>
                </c:pt>
                <c:pt idx="4">
                  <c:v>1548776.91</c:v>
                </c:pt>
                <c:pt idx="5">
                  <c:v>1344399.77</c:v>
                </c:pt>
                <c:pt idx="6">
                  <c:v>1220009.8999999999</c:v>
                </c:pt>
                <c:pt idx="7">
                  <c:v>1258690.3799999999</c:v>
                </c:pt>
                <c:pt idx="8">
                  <c:v>1306141.6000000001</c:v>
                </c:pt>
                <c:pt idx="9">
                  <c:v>1827019.99</c:v>
                </c:pt>
                <c:pt idx="10">
                  <c:v>1606493.21</c:v>
                </c:pt>
                <c:pt idx="11">
                  <c:v>1073107.8500000001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CB-4455-9C3D-1BCB4EAB5183}"/>
            </c:ext>
          </c:extLst>
        </c:ser>
        <c:ser>
          <c:idx val="3"/>
          <c:order val="3"/>
          <c:tx>
            <c:strRef>
              <c:f>'COMP_MEN_ASES 2024'!$E$3:$E$4</c:f>
              <c:strCache>
                <c:ptCount val="1"/>
                <c:pt idx="0">
                  <c:v>RAQUEL BRAVO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'COMP_MEN_ASES 2024'!$A$5:$A$17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'COMP_MEN_ASES 2024'!$E$5:$E$17</c:f>
              <c:numCache>
                <c:formatCode>_-[$S/-280A]\ * #,##0.00_-;\-[$S/-280A]\ * #,##0.00_-;_-[$S/-280A]\ * "-"??_-;_-@_-</c:formatCode>
                <c:ptCount val="12"/>
                <c:pt idx="0">
                  <c:v>494540.86</c:v>
                </c:pt>
                <c:pt idx="1">
                  <c:v>487698.46</c:v>
                </c:pt>
                <c:pt idx="2">
                  <c:v>778937.63</c:v>
                </c:pt>
                <c:pt idx="3">
                  <c:v>737232.8</c:v>
                </c:pt>
                <c:pt idx="4">
                  <c:v>696573.79</c:v>
                </c:pt>
                <c:pt idx="5">
                  <c:v>823436.69</c:v>
                </c:pt>
                <c:pt idx="6">
                  <c:v>1118815.4099999999</c:v>
                </c:pt>
                <c:pt idx="7">
                  <c:v>1105635.7</c:v>
                </c:pt>
                <c:pt idx="8">
                  <c:v>800137.88</c:v>
                </c:pt>
                <c:pt idx="9">
                  <c:v>382986.05</c:v>
                </c:pt>
                <c:pt idx="10">
                  <c:v>517098.34</c:v>
                </c:pt>
                <c:pt idx="11">
                  <c:v>477987.13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CB-4455-9C3D-1BCB4EAB5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721936"/>
        <c:axId val="1587727696"/>
      </c:lineChart>
      <c:catAx>
        <c:axId val="158772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87727696"/>
        <c:crosses val="autoZero"/>
        <c:auto val="1"/>
        <c:lblAlgn val="ctr"/>
        <c:lblOffset val="100"/>
        <c:noMultiLvlLbl val="0"/>
      </c:catAx>
      <c:valAx>
        <c:axId val="158772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S/-280A]\ * #,##0.00_-;\-[$S/-280A]\ * #,##0.00_-;_-[$S/-280A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8772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 COMERCIALES_VOLUMEN DE VENTAS 2026.xlsx]COMP_MEN_ASES 2024!TablaDinámica3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'COMP_MEN_ASES 2024'!$B$19:$B$20</c:f>
              <c:strCache>
                <c:ptCount val="1"/>
                <c:pt idx="0">
                  <c:v>ALFREDO ASTOQUILLCA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'COMP_MEN_ASES 2024'!$A$21:$A$33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'COMP_MEN_ASES 2024'!$B$21:$B$33</c:f>
              <c:numCache>
                <c:formatCode>General</c:formatCode>
                <c:ptCount val="12"/>
                <c:pt idx="0">
                  <c:v>12001.47</c:v>
                </c:pt>
                <c:pt idx="1">
                  <c:v>15670.28</c:v>
                </c:pt>
                <c:pt idx="2">
                  <c:v>17184.68</c:v>
                </c:pt>
                <c:pt idx="3">
                  <c:v>20315.509999999998</c:v>
                </c:pt>
                <c:pt idx="4">
                  <c:v>13845.45</c:v>
                </c:pt>
                <c:pt idx="5">
                  <c:v>17442.29</c:v>
                </c:pt>
                <c:pt idx="6">
                  <c:v>17351.080000000002</c:v>
                </c:pt>
                <c:pt idx="7">
                  <c:v>19969.310000000001</c:v>
                </c:pt>
                <c:pt idx="8">
                  <c:v>17686.23</c:v>
                </c:pt>
                <c:pt idx="9">
                  <c:v>17722.189999999999</c:v>
                </c:pt>
                <c:pt idx="10">
                  <c:v>14137.79</c:v>
                </c:pt>
                <c:pt idx="11">
                  <c:v>14715.57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64-4B55-A08D-8351C4C16E47}"/>
            </c:ext>
          </c:extLst>
        </c:ser>
        <c:ser>
          <c:idx val="1"/>
          <c:order val="1"/>
          <c:tx>
            <c:strRef>
              <c:f>'COMP_MEN_ASES 2024'!$C$19:$C$20</c:f>
              <c:strCache>
                <c:ptCount val="1"/>
                <c:pt idx="0">
                  <c:v>FATIMA VARA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'COMP_MEN_ASES 2024'!$A$21:$A$33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'COMP_MEN_ASES 2024'!$C$21:$C$33</c:f>
              <c:numCache>
                <c:formatCode>General</c:formatCode>
                <c:ptCount val="12"/>
                <c:pt idx="0">
                  <c:v>0</c:v>
                </c:pt>
                <c:pt idx="1">
                  <c:v>11886.59</c:v>
                </c:pt>
                <c:pt idx="2">
                  <c:v>22332.92</c:v>
                </c:pt>
                <c:pt idx="3">
                  <c:v>26459.21</c:v>
                </c:pt>
                <c:pt idx="4">
                  <c:v>30308.09</c:v>
                </c:pt>
                <c:pt idx="5">
                  <c:v>15750.06</c:v>
                </c:pt>
                <c:pt idx="6">
                  <c:v>17168.189999999999</c:v>
                </c:pt>
                <c:pt idx="7">
                  <c:v>19484.79</c:v>
                </c:pt>
                <c:pt idx="8">
                  <c:v>18931.150000000001</c:v>
                </c:pt>
                <c:pt idx="9">
                  <c:v>30226.799999999999</c:v>
                </c:pt>
                <c:pt idx="10">
                  <c:v>28480.46</c:v>
                </c:pt>
                <c:pt idx="11">
                  <c:v>20725.95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9D5-4FB4-9015-12B527C9C197}"/>
            </c:ext>
          </c:extLst>
        </c:ser>
        <c:ser>
          <c:idx val="2"/>
          <c:order val="2"/>
          <c:tx>
            <c:strRef>
              <c:f>'COMP_MEN_ASES 2024'!$D$19:$D$20</c:f>
              <c:strCache>
                <c:ptCount val="1"/>
                <c:pt idx="0">
                  <c:v>JUAN MEDINA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'COMP_MEN_ASES 2024'!$A$21:$A$33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'COMP_MEN_ASES 2024'!$D$21:$D$33</c:f>
              <c:numCache>
                <c:formatCode>General</c:formatCode>
                <c:ptCount val="12"/>
                <c:pt idx="0">
                  <c:v>20573.599999999999</c:v>
                </c:pt>
                <c:pt idx="1">
                  <c:v>35798.43</c:v>
                </c:pt>
                <c:pt idx="2">
                  <c:v>21612.87</c:v>
                </c:pt>
                <c:pt idx="3">
                  <c:v>27544.400000000001</c:v>
                </c:pt>
                <c:pt idx="4">
                  <c:v>37310.93</c:v>
                </c:pt>
                <c:pt idx="5">
                  <c:v>32858.22</c:v>
                </c:pt>
                <c:pt idx="6">
                  <c:v>37091.15</c:v>
                </c:pt>
                <c:pt idx="7">
                  <c:v>28867.01</c:v>
                </c:pt>
                <c:pt idx="8">
                  <c:v>24303.52</c:v>
                </c:pt>
                <c:pt idx="9">
                  <c:v>29726.2</c:v>
                </c:pt>
                <c:pt idx="10">
                  <c:v>28164.94</c:v>
                </c:pt>
                <c:pt idx="11">
                  <c:v>19185.900000000001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9D5-4FB4-9015-12B527C9C197}"/>
            </c:ext>
          </c:extLst>
        </c:ser>
        <c:ser>
          <c:idx val="3"/>
          <c:order val="3"/>
          <c:tx>
            <c:strRef>
              <c:f>'COMP_MEN_ASES 2024'!$E$19:$E$20</c:f>
              <c:strCache>
                <c:ptCount val="1"/>
                <c:pt idx="0">
                  <c:v>RAQUEL BRAVO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'COMP_MEN_ASES 2024'!$A$21:$A$33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'COMP_MEN_ASES 2024'!$E$21:$E$33</c:f>
              <c:numCache>
                <c:formatCode>General</c:formatCode>
                <c:ptCount val="12"/>
                <c:pt idx="0">
                  <c:v>13367.82</c:v>
                </c:pt>
                <c:pt idx="1">
                  <c:v>9816.74</c:v>
                </c:pt>
                <c:pt idx="2">
                  <c:v>16121.28</c:v>
                </c:pt>
                <c:pt idx="3">
                  <c:v>13336.39</c:v>
                </c:pt>
                <c:pt idx="4">
                  <c:v>15336.59</c:v>
                </c:pt>
                <c:pt idx="5">
                  <c:v>18434.72</c:v>
                </c:pt>
                <c:pt idx="6">
                  <c:v>21902.33</c:v>
                </c:pt>
                <c:pt idx="7">
                  <c:v>20430.32</c:v>
                </c:pt>
                <c:pt idx="8">
                  <c:v>15455.26</c:v>
                </c:pt>
                <c:pt idx="9">
                  <c:v>7871.02</c:v>
                </c:pt>
                <c:pt idx="10">
                  <c:v>10892.12</c:v>
                </c:pt>
                <c:pt idx="11">
                  <c:v>9718.93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9D5-4FB4-9015-12B527C9C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6911120"/>
        <c:axId val="1976902480"/>
      </c:lineChart>
      <c:catAx>
        <c:axId val="197691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76902480"/>
        <c:crosses val="autoZero"/>
        <c:auto val="1"/>
        <c:lblAlgn val="ctr"/>
        <c:lblOffset val="100"/>
        <c:noMultiLvlLbl val="0"/>
      </c:catAx>
      <c:valAx>
        <c:axId val="197690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7691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tx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14</xdr:row>
      <xdr:rowOff>7620</xdr:rowOff>
    </xdr:from>
    <xdr:to>
      <xdr:col>6</xdr:col>
      <xdr:colOff>845820</xdr:colOff>
      <xdr:row>40</xdr:row>
      <xdr:rowOff>22860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C5813A7-4357-BC50-1E43-82088F3527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1021080</xdr:colOff>
      <xdr:row>13</xdr:row>
      <xdr:rowOff>175259</xdr:rowOff>
    </xdr:from>
    <xdr:to>
      <xdr:col>14</xdr:col>
      <xdr:colOff>86810</xdr:colOff>
      <xdr:row>40</xdr:row>
      <xdr:rowOff>28936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19EDBBE-F38C-43C1-AE8C-5AF4F0787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201706</xdr:colOff>
      <xdr:row>0</xdr:row>
      <xdr:rowOff>106904</xdr:rowOff>
    </xdr:from>
    <xdr:to>
      <xdr:col>18</xdr:col>
      <xdr:colOff>470647</xdr:colOff>
      <xdr:row>20</xdr:row>
      <xdr:rowOff>4034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DB4EA8-ED40-4194-9532-E620EB7F0E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194981</xdr:colOff>
      <xdr:row>20</xdr:row>
      <xdr:rowOff>136713</xdr:rowOff>
    </xdr:from>
    <xdr:to>
      <xdr:col>18</xdr:col>
      <xdr:colOff>470646</xdr:colOff>
      <xdr:row>40</xdr:row>
      <xdr:rowOff>89647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C2C4D4F-1DCB-4231-9B6D-FC23CC4A2B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20</xdr:row>
      <xdr:rowOff>9525</xdr:rowOff>
    </xdr:from>
    <xdr:to>
      <xdr:col>15</xdr:col>
      <xdr:colOff>45983</xdr:colOff>
      <xdr:row>39</xdr:row>
      <xdr:rowOff>130773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68CB721-75DA-4B7F-B46C-398BE1B359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170793</xdr:colOff>
      <xdr:row>19</xdr:row>
      <xdr:rowOff>183930</xdr:rowOff>
    </xdr:from>
    <xdr:to>
      <xdr:col>18</xdr:col>
      <xdr:colOff>1379483</xdr:colOff>
      <xdr:row>39</xdr:row>
      <xdr:rowOff>145831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D23F7F4-EDCD-435F-B47B-FE68185178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0</xdr:rowOff>
    </xdr:from>
    <xdr:to>
      <xdr:col>11</xdr:col>
      <xdr:colOff>48946</xdr:colOff>
      <xdr:row>30</xdr:row>
      <xdr:rowOff>9766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7BB3AA6-8BED-D6D0-9565-77AA8C723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00500"/>
          <a:ext cx="9469171" cy="172426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156210</xdr:rowOff>
    </xdr:from>
    <xdr:to>
      <xdr:col>16</xdr:col>
      <xdr:colOff>449580</xdr:colOff>
      <xdr:row>19</xdr:row>
      <xdr:rowOff>53340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A3B544-A46E-EF21-5E28-666F2A12D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20</xdr:row>
      <xdr:rowOff>19050</xdr:rowOff>
    </xdr:from>
    <xdr:to>
      <xdr:col>16</xdr:col>
      <xdr:colOff>448235</xdr:colOff>
      <xdr:row>42</xdr:row>
      <xdr:rowOff>114300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EB67837-D642-036B-DD29-97F037AF79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772758</xdr:colOff>
      <xdr:row>5</xdr:row>
      <xdr:rowOff>147470</xdr:rowOff>
    </xdr:from>
    <xdr:to>
      <xdr:col>19</xdr:col>
      <xdr:colOff>214705</xdr:colOff>
      <xdr:row>14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SESOR">
              <a:extLst>
                <a:ext uri="{FF2B5EF4-FFF2-40B4-BE49-F238E27FC236}">
                  <a16:creationId xmlns:a16="http://schemas.microsoft.com/office/drawing/2014/main" id="{2C30BA3D-521F-72BF-7FE9-BA48CA1998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SES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741140" y="1043941"/>
              <a:ext cx="1828800" cy="14661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10758</xdr:colOff>
      <xdr:row>20</xdr:row>
      <xdr:rowOff>24205</xdr:rowOff>
    </xdr:from>
    <xdr:to>
      <xdr:col>19</xdr:col>
      <xdr:colOff>248323</xdr:colOff>
      <xdr:row>28</xdr:row>
      <xdr:rowOff>100853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ASESOR 1">
              <a:extLst>
                <a:ext uri="{FF2B5EF4-FFF2-40B4-BE49-F238E27FC236}">
                  <a16:creationId xmlns:a16="http://schemas.microsoft.com/office/drawing/2014/main" id="{7A5B1919-E5EB-C559-6A10-BCCF45A97F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SESO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774758" y="3610087"/>
              <a:ext cx="1828800" cy="15110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NT_01" refreshedDate="45810.492495486113" createdVersion="8" refreshedVersion="8" minRefreshableVersion="3" recordCount="48" xr:uid="{FF628D18-4165-4A0A-AB54-F04F34B81A13}">
  <cacheSource type="worksheet">
    <worksheetSource ref="A1:C49" sheet="DATA MENSUAL_ASESOR2024"/>
  </cacheSource>
  <cacheFields count="3">
    <cacheField name="ASESOR" numFmtId="0">
      <sharedItems count="4">
        <s v="ALFREDO ASTOQUILLCA"/>
        <s v="JUAN MEDINA"/>
        <s v="FATIMA VARA"/>
        <s v="RAQUEL BRAVO"/>
      </sharedItems>
    </cacheField>
    <cacheField name="MES" numFmtId="0">
      <sharedItems count="12">
        <s v="ENERO"/>
        <s v="FEBRERO"/>
        <s v="MARZO"/>
        <s v="ABRIL"/>
        <s v="MAYO"/>
        <s v="JUNIO"/>
        <s v="JULIO"/>
        <s v="AGOSTO"/>
        <s v="SETIEMBRE"/>
        <s v="OCTUBRE"/>
        <s v="NOVIEMBRE"/>
        <s v="DICIEMBRE"/>
      </sharedItems>
    </cacheField>
    <cacheField name="IMPORTE (S/.)" numFmtId="164">
      <sharedItems containsSemiMixedTypes="0" containsString="0" containsNumber="1" minValue="382986.05" maxValue="1877299.8"/>
    </cacheField>
  </cacheFields>
  <extLst>
    <ext xmlns:x14="http://schemas.microsoft.com/office/spreadsheetml/2009/9/main" uri="{725AE2AE-9491-48be-B2B4-4EB974FC3084}">
      <x14:pivotCacheDefinition pivotCacheId="19454690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NT_01" refreshedDate="45810.49249571759" createdVersion="8" refreshedVersion="8" minRefreshableVersion="3" recordCount="48" xr:uid="{604D9460-759C-4915-AF2F-749859DF97B7}">
  <cacheSource type="worksheet">
    <worksheetSource ref="A1:D49" sheet="DATA MENSUAL_ASESOR2024"/>
  </cacheSource>
  <cacheFields count="4">
    <cacheField name="ASESOR" numFmtId="0">
      <sharedItems count="4">
        <s v="ALFREDO ASTOQUILLCA"/>
        <s v="JUAN MEDINA"/>
        <s v="FATIMA VARA"/>
        <s v="RAQUEL BRAVO"/>
      </sharedItems>
    </cacheField>
    <cacheField name="MES" numFmtId="0">
      <sharedItems count="12">
        <s v="ENERO"/>
        <s v="FEBRERO"/>
        <s v="MARZO"/>
        <s v="ABRIL"/>
        <s v="MAYO"/>
        <s v="JUNIO"/>
        <s v="JULIO"/>
        <s v="AGOSTO"/>
        <s v="SETIEMBRE"/>
        <s v="OCTUBRE"/>
        <s v="NOVIEMBRE"/>
        <s v="DICIEMBRE"/>
      </sharedItems>
    </cacheField>
    <cacheField name="IMPORTE (S/.)" numFmtId="164">
      <sharedItems containsSemiMixedTypes="0" containsString="0" containsNumber="1" minValue="382986.05" maxValue="1877299.8"/>
    </cacheField>
    <cacheField name="CANTIDAD (KG)" numFmtId="0">
      <sharedItems containsSemiMixedTypes="0" containsString="0" containsNumber="1" minValue="0" maxValue="37310.93"/>
    </cacheField>
  </cacheFields>
  <extLst>
    <ext xmlns:x14="http://schemas.microsoft.com/office/spreadsheetml/2009/9/main" uri="{725AE2AE-9491-48be-B2B4-4EB974FC3084}">
      <x14:pivotCacheDefinition pivotCacheId="1419745789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NT_01" refreshedDate="45909.484226504632" createdVersion="8" refreshedVersion="8" minRefreshableVersion="3" recordCount="515" xr:uid="{FA136188-FB0D-49AE-962C-5744F47ED4C7}">
  <cacheSource type="worksheet">
    <worksheetSource ref="A1:F516" sheet="DATA ANUAL"/>
  </cacheSource>
  <cacheFields count="6">
    <cacheField name="COD_CLIENTE" numFmtId="0">
      <sharedItems containsMixedTypes="1" containsNumber="1" containsInteger="1" minValue="2" maxValue="3896981607223"/>
    </cacheField>
    <cacheField name="AÑO" numFmtId="0">
      <sharedItems containsSemiMixedTypes="0" containsString="0" containsNumber="1" containsInteger="1" minValue="2024" maxValue="2025" count="2">
        <n v="2024"/>
        <n v="2025"/>
      </sharedItems>
    </cacheField>
    <cacheField name="NOMBRE" numFmtId="0">
      <sharedItems/>
    </cacheField>
    <cacheField name="RUC" numFmtId="0">
      <sharedItems containsSemiMixedTypes="0" containsString="0" containsNumber="1" containsInteger="1" minValue="6915732" maxValue="3896981607223"/>
    </cacheField>
    <cacheField name="VENDEDOR" numFmtId="0">
      <sharedItems count="7">
        <s v="J.MEDINA"/>
        <s v="A.CHAVEZ"/>
        <s v="F.VARA"/>
        <s v="A.ASTOQUILLCA"/>
        <s v="OFICINA"/>
        <s v="E.CASTILLO"/>
        <s v="B.CRUZ"/>
      </sharedItems>
    </cacheField>
    <cacheField name="IMPORTE" numFmtId="0">
      <sharedItems containsSemiMixedTypes="0" containsString="0" containsNumber="1" minValue="10.714079999999999" maxValue="4804393.737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310_01" refreshedDate="46083.480785069441" createdVersion="8" refreshedVersion="8" minRefreshableVersion="3" recordCount="48" xr:uid="{E4E945AB-71B5-43C6-BDB5-6F6459FA2F3F}">
  <cacheSource type="worksheet">
    <worksheetSource ref="A1:D49" sheet="DATA MENSUAL_ASESOR2026"/>
  </cacheSource>
  <cacheFields count="4">
    <cacheField name="ASESOR" numFmtId="0">
      <sharedItems count="7">
        <s v="ALFREDO ASTOQUILLCA"/>
        <s v="CRIS ARMAS"/>
        <s v="DIANA MARCOS"/>
        <s v="ANTONIO CHAVEZ"/>
        <s v="JUAN MEDINA" u="1"/>
        <s v="FATIMA VARA" u="1"/>
        <s v="RAQUEL BRAVO" u="1"/>
      </sharedItems>
    </cacheField>
    <cacheField name="MES" numFmtId="0">
      <sharedItems count="12">
        <s v="ENERO"/>
        <s v="FEBRERO"/>
        <s v="MARZO"/>
        <s v="ABRIL"/>
        <s v="MAYO"/>
        <s v="JUNIO"/>
        <s v="JULIO"/>
        <s v="AGOSTO"/>
        <s v="SETIEMBRE"/>
        <s v="OCTUBRE"/>
        <s v="NOVIEMBRE"/>
        <s v="DICIEMBRE"/>
      </sharedItems>
    </cacheField>
    <cacheField name="IMPORTE (S/.)" numFmtId="164">
      <sharedItems containsString="0" containsBlank="1" containsNumber="1" minValue="56657.09" maxValue="1217789.81"/>
    </cacheField>
    <cacheField name="CANTIDAD (KG)" numFmtId="4">
      <sharedItems containsString="0" containsBlank="1" containsNumber="1" minValue="192.92" maxValue="25654.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n v="439540.08"/>
  </r>
  <r>
    <x v="0"/>
    <x v="1"/>
    <n v="550082.68000000005"/>
  </r>
  <r>
    <x v="0"/>
    <x v="2"/>
    <n v="553802.6"/>
  </r>
  <r>
    <x v="0"/>
    <x v="3"/>
    <n v="561735.9"/>
  </r>
  <r>
    <x v="0"/>
    <x v="4"/>
    <n v="467928.04"/>
  </r>
  <r>
    <x v="0"/>
    <x v="5"/>
    <n v="530121.32999999996"/>
  </r>
  <r>
    <x v="0"/>
    <x v="6"/>
    <n v="580804.49"/>
  </r>
  <r>
    <x v="0"/>
    <x v="7"/>
    <n v="563635.78"/>
  </r>
  <r>
    <x v="0"/>
    <x v="8"/>
    <n v="548585.11"/>
  </r>
  <r>
    <x v="0"/>
    <x v="9"/>
    <n v="655994.05000000005"/>
  </r>
  <r>
    <x v="0"/>
    <x v="10"/>
    <n v="593813.28"/>
  </r>
  <r>
    <x v="0"/>
    <x v="11"/>
    <n v="525928.78"/>
  </r>
  <r>
    <x v="1"/>
    <x v="0"/>
    <n v="1064001.99"/>
  </r>
  <r>
    <x v="1"/>
    <x v="1"/>
    <n v="1877299.8"/>
  </r>
  <r>
    <x v="1"/>
    <x v="2"/>
    <n v="1035890.39"/>
  </r>
  <r>
    <x v="1"/>
    <x v="3"/>
    <n v="1322449.48"/>
  </r>
  <r>
    <x v="1"/>
    <x v="4"/>
    <n v="1548776.91"/>
  </r>
  <r>
    <x v="1"/>
    <x v="5"/>
    <n v="1344399.77"/>
  </r>
  <r>
    <x v="1"/>
    <x v="6"/>
    <n v="1220009.8999999999"/>
  </r>
  <r>
    <x v="1"/>
    <x v="7"/>
    <n v="1258690.3799999999"/>
  </r>
  <r>
    <x v="1"/>
    <x v="8"/>
    <n v="1306141.6000000001"/>
  </r>
  <r>
    <x v="1"/>
    <x v="9"/>
    <n v="1827019.99"/>
  </r>
  <r>
    <x v="1"/>
    <x v="10"/>
    <n v="1606493.21"/>
  </r>
  <r>
    <x v="1"/>
    <x v="11"/>
    <n v="1073107.8500000001"/>
  </r>
  <r>
    <x v="2"/>
    <x v="0"/>
    <n v="581584.06000000006"/>
  </r>
  <r>
    <x v="2"/>
    <x v="1"/>
    <n v="528241.89"/>
  </r>
  <r>
    <x v="2"/>
    <x v="2"/>
    <n v="887878.26"/>
  </r>
  <r>
    <x v="2"/>
    <x v="3"/>
    <n v="1436877.74"/>
  </r>
  <r>
    <x v="2"/>
    <x v="4"/>
    <n v="1558190.81"/>
  </r>
  <r>
    <x v="2"/>
    <x v="5"/>
    <n v="982569.52"/>
  </r>
  <r>
    <x v="2"/>
    <x v="6"/>
    <n v="1218876.27"/>
  </r>
  <r>
    <x v="2"/>
    <x v="7"/>
    <n v="1169164.19"/>
  </r>
  <r>
    <x v="2"/>
    <x v="8"/>
    <n v="949706.26"/>
  </r>
  <r>
    <x v="2"/>
    <x v="9"/>
    <n v="1265005.74"/>
  </r>
  <r>
    <x v="2"/>
    <x v="10"/>
    <n v="1232407.54"/>
  </r>
  <r>
    <x v="2"/>
    <x v="11"/>
    <n v="911669.06"/>
  </r>
  <r>
    <x v="3"/>
    <x v="0"/>
    <n v="494540.86"/>
  </r>
  <r>
    <x v="3"/>
    <x v="1"/>
    <n v="487698.46"/>
  </r>
  <r>
    <x v="3"/>
    <x v="2"/>
    <n v="778937.63"/>
  </r>
  <r>
    <x v="3"/>
    <x v="3"/>
    <n v="737232.8"/>
  </r>
  <r>
    <x v="3"/>
    <x v="4"/>
    <n v="696573.79"/>
  </r>
  <r>
    <x v="3"/>
    <x v="5"/>
    <n v="823436.69"/>
  </r>
  <r>
    <x v="3"/>
    <x v="6"/>
    <n v="1118815.4099999999"/>
  </r>
  <r>
    <x v="3"/>
    <x v="7"/>
    <n v="1105635.7"/>
  </r>
  <r>
    <x v="3"/>
    <x v="8"/>
    <n v="800137.88"/>
  </r>
  <r>
    <x v="3"/>
    <x v="9"/>
    <n v="382986.05"/>
  </r>
  <r>
    <x v="3"/>
    <x v="10"/>
    <n v="517098.34"/>
  </r>
  <r>
    <x v="3"/>
    <x v="11"/>
    <n v="477987.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n v="439540.08"/>
    <n v="12001.47"/>
  </r>
  <r>
    <x v="0"/>
    <x v="1"/>
    <n v="550082.68000000005"/>
    <n v="15670.28"/>
  </r>
  <r>
    <x v="0"/>
    <x v="2"/>
    <n v="553802.6"/>
    <n v="17184.68"/>
  </r>
  <r>
    <x v="0"/>
    <x v="3"/>
    <n v="561735.9"/>
    <n v="20315.509999999998"/>
  </r>
  <r>
    <x v="0"/>
    <x v="4"/>
    <n v="467928.04"/>
    <n v="13845.45"/>
  </r>
  <r>
    <x v="0"/>
    <x v="5"/>
    <n v="530121.32999999996"/>
    <n v="17442.29"/>
  </r>
  <r>
    <x v="0"/>
    <x v="6"/>
    <n v="580804.49"/>
    <n v="17351.080000000002"/>
  </r>
  <r>
    <x v="0"/>
    <x v="7"/>
    <n v="563635.78"/>
    <n v="19969.310000000001"/>
  </r>
  <r>
    <x v="0"/>
    <x v="8"/>
    <n v="548585.11"/>
    <n v="17686.23"/>
  </r>
  <r>
    <x v="0"/>
    <x v="9"/>
    <n v="655994.05000000005"/>
    <n v="17722.189999999999"/>
  </r>
  <r>
    <x v="0"/>
    <x v="10"/>
    <n v="593813.28"/>
    <n v="14137.79"/>
  </r>
  <r>
    <x v="0"/>
    <x v="11"/>
    <n v="525928.78"/>
    <n v="14715.57"/>
  </r>
  <r>
    <x v="1"/>
    <x v="0"/>
    <n v="1064001.99"/>
    <n v="20573.599999999999"/>
  </r>
  <r>
    <x v="1"/>
    <x v="1"/>
    <n v="1877299.8"/>
    <n v="35798.43"/>
  </r>
  <r>
    <x v="1"/>
    <x v="2"/>
    <n v="1035890.39"/>
    <n v="21612.87"/>
  </r>
  <r>
    <x v="1"/>
    <x v="3"/>
    <n v="1322449.48"/>
    <n v="27544.400000000001"/>
  </r>
  <r>
    <x v="1"/>
    <x v="4"/>
    <n v="1548776.91"/>
    <n v="37310.93"/>
  </r>
  <r>
    <x v="1"/>
    <x v="5"/>
    <n v="1344399.77"/>
    <n v="32858.22"/>
  </r>
  <r>
    <x v="1"/>
    <x v="6"/>
    <n v="1220009.8999999999"/>
    <n v="37091.15"/>
  </r>
  <r>
    <x v="1"/>
    <x v="7"/>
    <n v="1258690.3799999999"/>
    <n v="28867.01"/>
  </r>
  <r>
    <x v="1"/>
    <x v="8"/>
    <n v="1306141.6000000001"/>
    <n v="24303.52"/>
  </r>
  <r>
    <x v="1"/>
    <x v="9"/>
    <n v="1827019.99"/>
    <n v="29726.2"/>
  </r>
  <r>
    <x v="1"/>
    <x v="10"/>
    <n v="1606493.21"/>
    <n v="28164.94"/>
  </r>
  <r>
    <x v="1"/>
    <x v="11"/>
    <n v="1073107.8500000001"/>
    <n v="19185.900000000001"/>
  </r>
  <r>
    <x v="2"/>
    <x v="0"/>
    <n v="581584.06000000006"/>
    <n v="0"/>
  </r>
  <r>
    <x v="2"/>
    <x v="1"/>
    <n v="528241.89"/>
    <n v="11886.59"/>
  </r>
  <r>
    <x v="2"/>
    <x v="2"/>
    <n v="887878.26"/>
    <n v="22332.92"/>
  </r>
  <r>
    <x v="2"/>
    <x v="3"/>
    <n v="1436877.74"/>
    <n v="26459.21"/>
  </r>
  <r>
    <x v="2"/>
    <x v="4"/>
    <n v="1558190.81"/>
    <n v="30308.09"/>
  </r>
  <r>
    <x v="2"/>
    <x v="5"/>
    <n v="982569.52"/>
    <n v="15750.06"/>
  </r>
  <r>
    <x v="2"/>
    <x v="6"/>
    <n v="1218876.27"/>
    <n v="17168.189999999999"/>
  </r>
  <r>
    <x v="2"/>
    <x v="7"/>
    <n v="1169164.19"/>
    <n v="19484.79"/>
  </r>
  <r>
    <x v="2"/>
    <x v="8"/>
    <n v="949706.26"/>
    <n v="18931.150000000001"/>
  </r>
  <r>
    <x v="2"/>
    <x v="9"/>
    <n v="1265005.74"/>
    <n v="30226.799999999999"/>
  </r>
  <r>
    <x v="2"/>
    <x v="10"/>
    <n v="1232407.54"/>
    <n v="28480.46"/>
  </r>
  <r>
    <x v="2"/>
    <x v="11"/>
    <n v="911669.06"/>
    <n v="20725.95"/>
  </r>
  <r>
    <x v="3"/>
    <x v="0"/>
    <n v="494540.86"/>
    <n v="13367.82"/>
  </r>
  <r>
    <x v="3"/>
    <x v="1"/>
    <n v="487698.46"/>
    <n v="9816.74"/>
  </r>
  <r>
    <x v="3"/>
    <x v="2"/>
    <n v="778937.63"/>
    <n v="16121.28"/>
  </r>
  <r>
    <x v="3"/>
    <x v="3"/>
    <n v="737232.8"/>
    <n v="13336.39"/>
  </r>
  <r>
    <x v="3"/>
    <x v="4"/>
    <n v="696573.79"/>
    <n v="15336.59"/>
  </r>
  <r>
    <x v="3"/>
    <x v="5"/>
    <n v="823436.69"/>
    <n v="18434.72"/>
  </r>
  <r>
    <x v="3"/>
    <x v="6"/>
    <n v="1118815.4099999999"/>
    <n v="21902.33"/>
  </r>
  <r>
    <x v="3"/>
    <x v="7"/>
    <n v="1105635.7"/>
    <n v="20430.32"/>
  </r>
  <r>
    <x v="3"/>
    <x v="8"/>
    <n v="800137.88"/>
    <n v="15455.26"/>
  </r>
  <r>
    <x v="3"/>
    <x v="9"/>
    <n v="382986.05"/>
    <n v="7871.02"/>
  </r>
  <r>
    <x v="3"/>
    <x v="10"/>
    <n v="517098.34"/>
    <n v="10892.12"/>
  </r>
  <r>
    <x v="3"/>
    <x v="11"/>
    <n v="477987.13"/>
    <n v="9718.9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5">
  <r>
    <n v="20609680378"/>
    <x v="0"/>
    <s v=" J &amp; R COMPANY TEXTIL S.A.C."/>
    <n v="20609680378"/>
    <x v="0"/>
    <n v="4357.1779999999999"/>
  </r>
  <r>
    <n v="20609680378"/>
    <x v="1"/>
    <s v=" J &amp; R COMPANY TEXTIL S.A.C."/>
    <n v="20609680378"/>
    <x v="0"/>
    <n v="10488.62016"/>
  </r>
  <r>
    <n v="20513176"/>
    <x v="0"/>
    <s v="ABLIMATEX EXPORT S.A.C."/>
    <n v="20513176962"/>
    <x v="1"/>
    <n v="11404.86967"/>
  </r>
  <r>
    <n v="20538433790"/>
    <x v="0"/>
    <s v="ABUCORP PERU SAC"/>
    <n v="20538433790"/>
    <x v="2"/>
    <n v="11234.91894"/>
  </r>
  <r>
    <n v="9410125"/>
    <x v="0"/>
    <s v="ACEVEDO SALAZAR LUIS"/>
    <n v="9410125"/>
    <x v="3"/>
    <n v="3016.5119"/>
  </r>
  <r>
    <n v="20601968"/>
    <x v="0"/>
    <s v="ADOMA S.A.C."/>
    <n v="20601968551"/>
    <x v="3"/>
    <n v="94042.647299999997"/>
  </r>
  <r>
    <n v="20601968"/>
    <x v="1"/>
    <s v="ADOMA S.A.C."/>
    <n v="20601968551"/>
    <x v="3"/>
    <n v="50933.004529999998"/>
  </r>
  <r>
    <n v="20512110"/>
    <x v="0"/>
    <s v="AGROFIL HUYRO S.A.C"/>
    <n v="20512110143"/>
    <x v="1"/>
    <n v="45513.430200000003"/>
  </r>
  <r>
    <n v="20512110"/>
    <x v="1"/>
    <s v="AGROFIL HUYRO S.A.C"/>
    <n v="20512110143"/>
    <x v="1"/>
    <n v="25191.445500000002"/>
  </r>
  <r>
    <n v="10166763580"/>
    <x v="0"/>
    <s v="ALBURQUERQUE MERINO MARTHA"/>
    <n v="10166763580"/>
    <x v="1"/>
    <n v="16118.045819999999"/>
  </r>
  <r>
    <n v="20506528"/>
    <x v="1"/>
    <s v="ALDAL CORPORATION E.I.R.L."/>
    <n v="20506528314"/>
    <x v="3"/>
    <n v="22115.678400000001"/>
  </r>
  <r>
    <n v="72632867"/>
    <x v="0"/>
    <s v="ALFARO BAZAN ANA PAULA"/>
    <n v="72632867"/>
    <x v="4"/>
    <n v="1046.4670599999999"/>
  </r>
  <r>
    <n v="20601197171"/>
    <x v="0"/>
    <s v="ALIANZA COLOR S.A.C."/>
    <n v="20601197171"/>
    <x v="2"/>
    <n v="483741.24254000001"/>
  </r>
  <r>
    <n v="20601197171"/>
    <x v="1"/>
    <s v="ALIANZA COLOR S.A.C."/>
    <n v="20601197171"/>
    <x v="2"/>
    <n v="131.94999999999999"/>
  </r>
  <r>
    <n v="20101283"/>
    <x v="0"/>
    <s v="ALLPA S.A.C."/>
    <n v="20101283403"/>
    <x v="3"/>
    <n v="8764.0306600000004"/>
  </r>
  <r>
    <n v="20101283"/>
    <x v="1"/>
    <s v="ALLPA S.A.C."/>
    <n v="20101283403"/>
    <x v="3"/>
    <n v="4472.8374800000001"/>
  </r>
  <r>
    <n v="20101600"/>
    <x v="0"/>
    <s v="ALMERIZ S.A."/>
    <n v="20101600735"/>
    <x v="2"/>
    <n v="284877.94977000001"/>
  </r>
  <r>
    <n v="20101600"/>
    <x v="1"/>
    <s v="ALMERIZ S.A."/>
    <n v="20101600735"/>
    <x v="2"/>
    <n v="18533.95938"/>
  </r>
  <r>
    <n v="20600057"/>
    <x v="0"/>
    <s v="ALPACA D &amp; C COMPANY S.A.C."/>
    <n v="20600057601"/>
    <x v="1"/>
    <n v="12227.706899999999"/>
  </r>
  <r>
    <n v="20600057"/>
    <x v="1"/>
    <s v="ALPACA D &amp; C COMPANY S.A.C."/>
    <n v="20600057601"/>
    <x v="1"/>
    <n v="19426.331460000001"/>
  </r>
  <r>
    <n v="20113076"/>
    <x v="0"/>
    <s v="ALPAKA FASHION E.I.R.L."/>
    <n v="20113076128"/>
    <x v="3"/>
    <n v="71081.845629999996"/>
  </r>
  <r>
    <n v="20113076"/>
    <x v="1"/>
    <s v="ALPAKA FASHION E.I.R.L."/>
    <n v="20113076128"/>
    <x v="3"/>
    <n v="44487.700940000002"/>
  </r>
  <r>
    <n v="20608532812"/>
    <x v="0"/>
    <s v="ALPRATEX SOCIEDAD ANONIMA CERRADA"/>
    <n v="20608532812"/>
    <x v="0"/>
    <n v="3760.4048400000001"/>
  </r>
  <r>
    <n v="20602172"/>
    <x v="0"/>
    <s v="AMANTANI KNITS SOCIEDAD ANONIMA CERRADA"/>
    <n v="20602172415"/>
    <x v="3"/>
    <n v="92786.290550000005"/>
  </r>
  <r>
    <n v="20602172"/>
    <x v="1"/>
    <s v="AMANTANI KNITS SOCIEDAD ANONIMA CERRADA"/>
    <n v="20602172415"/>
    <x v="3"/>
    <n v="14469.46027"/>
  </r>
  <r>
    <n v="20508898"/>
    <x v="1"/>
    <s v="AMAT INVERSIONES S.A.C."/>
    <n v="20508898402"/>
    <x v="4"/>
    <n v="24132.753000000001"/>
  </r>
  <r>
    <n v="51896302"/>
    <x v="1"/>
    <s v="ANANITA S.R.L."/>
    <n v="518963029"/>
    <x v="1"/>
    <n v="19196.890179999999"/>
  </r>
  <r>
    <n v="20468268"/>
    <x v="0"/>
    <s v="ANAZER S.A.C."/>
    <n v="20468268508"/>
    <x v="2"/>
    <n v="950175.94938999997"/>
  </r>
  <r>
    <n v="20468268"/>
    <x v="1"/>
    <s v="ANAZER S.A.C."/>
    <n v="20468268508"/>
    <x v="2"/>
    <n v="447165.75565000001"/>
  </r>
  <r>
    <n v="20523589491"/>
    <x v="0"/>
    <s v="ANDEAN FLOR S.A.C"/>
    <n v="20523589491"/>
    <x v="3"/>
    <n v="1617.4941200000001"/>
  </r>
  <r>
    <n v="20545929"/>
    <x v="0"/>
    <s v="ANDES TEXTILES PERU S.A.C."/>
    <n v="20545929571"/>
    <x v="3"/>
    <n v="387688.34902000002"/>
  </r>
  <r>
    <n v="20545929"/>
    <x v="1"/>
    <s v="ANDES TEXTILES PERU S.A.C."/>
    <n v="20545929571"/>
    <x v="3"/>
    <n v="162190.75115"/>
  </r>
  <r>
    <n v="20611415461"/>
    <x v="0"/>
    <s v="ANGELITA GROUP E.I.R.L."/>
    <n v="20611415461"/>
    <x v="1"/>
    <n v="20635.598610000001"/>
  </r>
  <r>
    <n v="10703160145"/>
    <x v="1"/>
    <s v="ANGULO PEREZ FIORELLA PIERINA"/>
    <n v="10703160145"/>
    <x v="4"/>
    <n v="709.65"/>
  </r>
  <r>
    <n v="41894416"/>
    <x v="0"/>
    <s v="ARAUJO DE LA ROCA MARCIAL"/>
    <n v="41894416"/>
    <x v="4"/>
    <n v="31.16"/>
  </r>
  <r>
    <n v="10105861333"/>
    <x v="1"/>
    <s v="ARIZAGA GOMEZ KATYA PAOLA"/>
    <n v="10105861333"/>
    <x v="4"/>
    <n v="353.73750000000001"/>
  </r>
  <r>
    <n v="20413770"/>
    <x v="0"/>
    <s v="ART ATLAS S.R.L."/>
    <n v="20413770204"/>
    <x v="1"/>
    <n v="1530182.3585699999"/>
  </r>
  <r>
    <n v="20413770"/>
    <x v="1"/>
    <s v="ART ATLAS S.R.L."/>
    <n v="20413770204"/>
    <x v="1"/>
    <n v="409831.65253999998"/>
  </r>
  <r>
    <n v="20100873"/>
    <x v="0"/>
    <s v="ARTESANIAS MON REPOS S.A"/>
    <n v="20100873410"/>
    <x v="3"/>
    <n v="42785.720759999997"/>
  </r>
  <r>
    <n v="20100873"/>
    <x v="1"/>
    <s v="ARTESANIAS MON REPOS S.A"/>
    <n v="20100873410"/>
    <x v="3"/>
    <n v="26698.406900000002"/>
  </r>
  <r>
    <n v="910496022"/>
    <x v="0"/>
    <s v="ASTER TEKSTIL SAN. VE DIS. TIC. A.S."/>
    <n v="910496022"/>
    <x v="1"/>
    <n v="119404.9556"/>
  </r>
  <r>
    <n v="910496022"/>
    <x v="1"/>
    <s v="ASTER TEKSTIL SAN. VE DIS. TIC. A.S."/>
    <n v="910496022"/>
    <x v="1"/>
    <n v="5017.2569999999996"/>
  </r>
  <r>
    <n v="10101049758"/>
    <x v="0"/>
    <s v="ASTETE CAJAS ELMER OMAR"/>
    <n v="10101049758"/>
    <x v="3"/>
    <n v="14180.841210000001"/>
  </r>
  <r>
    <n v="10417289289"/>
    <x v="0"/>
    <s v="ATENCIO YACHAS MIRIAM NOELIA"/>
    <n v="10417289289"/>
    <x v="1"/>
    <n v="5124.91464"/>
  </r>
  <r>
    <n v="10417289289"/>
    <x v="1"/>
    <s v="ATENCIO YACHAS MIRIAM NOELIA"/>
    <n v="10417289289"/>
    <x v="1"/>
    <n v="1686.1343999999999"/>
  </r>
  <r>
    <n v="20613123858"/>
    <x v="1"/>
    <s v="AWAQ TEXTILES PERU S.A.C"/>
    <n v="20613123858"/>
    <x v="1"/>
    <n v="1276.4386099999999"/>
  </r>
  <r>
    <n v="20604804681"/>
    <x v="0"/>
    <s v="AYNI COLLECTION E.I.R.L."/>
    <n v="20604804681"/>
    <x v="1"/>
    <n v="182833.39837000001"/>
  </r>
  <r>
    <n v="20524895049"/>
    <x v="0"/>
    <s v="BE DESIGN E.I.R.L."/>
    <n v="20524895049"/>
    <x v="3"/>
    <n v="2390.8937099999998"/>
  </r>
  <r>
    <n v="20524895049"/>
    <x v="1"/>
    <s v="BE DESIGN E.I.R.L."/>
    <n v="20524895049"/>
    <x v="3"/>
    <n v="2413.3015999999998"/>
  </r>
  <r>
    <n v="86006985"/>
    <x v="0"/>
    <s v="BEBITA SAS"/>
    <n v="8600698597"/>
    <x v="1"/>
    <n v="76090.5288"/>
  </r>
  <r>
    <n v="86006985"/>
    <x v="1"/>
    <s v="BEBITA SAS"/>
    <n v="8600698597"/>
    <x v="1"/>
    <n v="55788.872960000001"/>
  </r>
  <r>
    <n v="20492112"/>
    <x v="0"/>
    <s v="BELLUCCI INTERNATIONAL JAPAN E.I.R.L."/>
    <n v="20492112365"/>
    <x v="3"/>
    <n v="69202.464089999994"/>
  </r>
  <r>
    <n v="20492112"/>
    <x v="1"/>
    <s v="BELLUCCI INTERNATIONAL JAPAN E.I.R.L."/>
    <n v="20492112365"/>
    <x v="3"/>
    <n v="36748.852420000003"/>
  </r>
  <r>
    <n v="10421983327"/>
    <x v="0"/>
    <s v="BERNACHEA MEDINA LUIS ALBERTO"/>
    <n v="10421983327"/>
    <x v="0"/>
    <n v="23117.349750000001"/>
  </r>
  <r>
    <n v="10421983327"/>
    <x v="1"/>
    <s v="BERNACHEA MEDINA LUIS ALBERTO"/>
    <n v="10421983327"/>
    <x v="0"/>
    <n v="4295.241"/>
  </r>
  <r>
    <n v="20608327437"/>
    <x v="0"/>
    <s v="BIANCO SUCESORES SOCIEDAD COMERCIAL DE RESPONSABILIDAD LTDA"/>
    <n v="20608327437"/>
    <x v="1"/>
    <n v="3939.3107"/>
  </r>
  <r>
    <n v="20608327437"/>
    <x v="1"/>
    <s v="BIANCO SUCESORES SOCIEDAD COMERCIAL DE RESPONSABILIDAD LTDA"/>
    <n v="20608327437"/>
    <x v="1"/>
    <n v="2033.538"/>
  </r>
  <r>
    <n v="10073329740"/>
    <x v="0"/>
    <s v="BOLAÑOS JUAREZ BIENVENIDA CLARA"/>
    <n v="10073329740"/>
    <x v="3"/>
    <n v="16680.45146"/>
  </r>
  <r>
    <n v="10073329740"/>
    <x v="1"/>
    <s v="BOLAÑOS JUAREZ BIENVENIDA CLARA"/>
    <n v="10073329740"/>
    <x v="3"/>
    <n v="17086.048200000001"/>
  </r>
  <r>
    <n v="47591553"/>
    <x v="0"/>
    <s v="BRICE¥O FASANANDO MARY CARMEN"/>
    <n v="47591553"/>
    <x v="1"/>
    <n v="2715.03404"/>
  </r>
  <r>
    <n v="10225217"/>
    <x v="0"/>
    <s v="CAMPOS MU¥OZ KELLY BETTY"/>
    <n v="10225217217"/>
    <x v="1"/>
    <n v="3030.77304"/>
  </r>
  <r>
    <n v="10225217"/>
    <x v="1"/>
    <s v="CAMPOS MU¥OZ KELLY BETTY"/>
    <n v="10225217217"/>
    <x v="1"/>
    <n v="1611.25675"/>
  </r>
  <r>
    <n v="10464418828"/>
    <x v="0"/>
    <s v="CANAHUIRE MAMANI EVELYN MELISSA"/>
    <n v="10464418828"/>
    <x v="3"/>
    <n v="20561.96904"/>
  </r>
  <r>
    <n v="20550223"/>
    <x v="0"/>
    <s v="CARAZ COMPANY S.A.C."/>
    <n v="20550223059"/>
    <x v="3"/>
    <n v="121903.54077000001"/>
  </r>
  <r>
    <n v="20550223"/>
    <x v="1"/>
    <s v="CARAZ COMPANY S.A.C."/>
    <n v="20550223059"/>
    <x v="3"/>
    <n v="8857.6200000000008"/>
  </r>
  <r>
    <n v="20553048151"/>
    <x v="0"/>
    <s v="CASA MACCHIAVELLO S.A.C."/>
    <n v="20553048151"/>
    <x v="3"/>
    <n v="145306.57032"/>
  </r>
  <r>
    <n v="20553048151"/>
    <x v="1"/>
    <s v="CASA MACCHIAVELLO S.A.C."/>
    <n v="20553048151"/>
    <x v="3"/>
    <n v="49191.616249999999"/>
  </r>
  <r>
    <n v="10103028162"/>
    <x v="0"/>
    <s v="CASALINO CARBAJAL CARLOS MIGUEL"/>
    <n v="10103028162"/>
    <x v="3"/>
    <n v="34797.059569999998"/>
  </r>
  <r>
    <n v="10103028162"/>
    <x v="1"/>
    <s v="CASALINO CARBAJAL CARLOS MIGUEL"/>
    <n v="10103028162"/>
    <x v="3"/>
    <n v="9732.9893200000006"/>
  </r>
  <r>
    <n v="10409176050"/>
    <x v="0"/>
    <s v="CASALINO SIU JOSE LUIS"/>
    <n v="10409176050"/>
    <x v="3"/>
    <n v="314173.77415999997"/>
  </r>
  <r>
    <n v="10409176050"/>
    <x v="1"/>
    <s v="CASALINO SIU JOSE LUIS"/>
    <n v="10409176050"/>
    <x v="3"/>
    <n v="30992.385920000001"/>
  </r>
  <r>
    <n v="10477054892"/>
    <x v="0"/>
    <s v="CASTELLARES TARAPAQUI DIEGO DONOVAN"/>
    <n v="10477054892"/>
    <x v="4"/>
    <n v="3651.8"/>
  </r>
  <r>
    <n v="10104113"/>
    <x v="0"/>
    <s v="CASTRO PUERTAS INES"/>
    <n v="10104113961"/>
    <x v="3"/>
    <n v="28222.036189999999"/>
  </r>
  <r>
    <n v="20507907"/>
    <x v="0"/>
    <s v="CATALOGO S.A.C."/>
    <n v="20507907114"/>
    <x v="0"/>
    <n v="190.52"/>
  </r>
  <r>
    <n v="40436966"/>
    <x v="0"/>
    <s v="CHACON ORTIZ YUDITH"/>
    <n v="40436966"/>
    <x v="1"/>
    <n v="3496.116"/>
  </r>
  <r>
    <n v="20424874"/>
    <x v="0"/>
    <s v="CHALICEN S.A.C"/>
    <n v="20424874141"/>
    <x v="3"/>
    <n v="11047.9017"/>
  </r>
  <r>
    <n v="10441680"/>
    <x v="0"/>
    <s v="CHIPANA CHILPA  ANALY CAROLA"/>
    <n v="10441680533"/>
    <x v="1"/>
    <n v="16665.5272"/>
  </r>
  <r>
    <n v="10739888331"/>
    <x v="0"/>
    <s v="CHURQUIPA CHAMBI CARMEN ROCIO"/>
    <n v="10739888331"/>
    <x v="1"/>
    <n v="8224.5614100000003"/>
  </r>
  <r>
    <n v="10739888331"/>
    <x v="1"/>
    <s v="CHURQUIPA CHAMBI CARMEN ROCIO"/>
    <n v="10739888331"/>
    <x v="1"/>
    <n v="4101.5828799999999"/>
  </r>
  <r>
    <n v="34989311"/>
    <x v="0"/>
    <s v="CINTAS GENERALES S.A."/>
    <n v="20349893119"/>
    <x v="3"/>
    <n v="5039.18833"/>
  </r>
  <r>
    <n v="20550948"/>
    <x v="0"/>
    <s v="COFACO INDUSTRIES S.A.C."/>
    <n v="20550948029"/>
    <x v="0"/>
    <n v="7524.3232600000001"/>
  </r>
  <r>
    <n v="20551622631"/>
    <x v="0"/>
    <s v="COLCA FABRICS S.A.C."/>
    <n v="20551622631"/>
    <x v="1"/>
    <n v="3539.0160000000001"/>
  </r>
  <r>
    <n v="20503955"/>
    <x v="0"/>
    <s v="COLECCIONES Y DISE¥OS SOC. COM. RESPONS. LTDA"/>
    <n v="20503955297"/>
    <x v="2"/>
    <n v="205317.41279999999"/>
  </r>
  <r>
    <n v="20503955"/>
    <x v="1"/>
    <s v="COLECCIONES Y DISE¥OS SOC. COM. RESPONS. LTDA"/>
    <n v="20503955297"/>
    <x v="2"/>
    <n v="60424.785150000003"/>
  </r>
  <r>
    <n v="20519499"/>
    <x v="0"/>
    <s v="COLORFUL COTTON S.A.C."/>
    <n v="20519499275"/>
    <x v="0"/>
    <n v="20884.23374"/>
  </r>
  <r>
    <n v="20519499"/>
    <x v="1"/>
    <s v="COLORFUL COTTON S.A.C."/>
    <n v="20519499275"/>
    <x v="0"/>
    <n v="3524.8304600000001"/>
  </r>
  <r>
    <n v="20512438"/>
    <x v="0"/>
    <s v="COMERCIAL ROSITEX S.R.L."/>
    <n v="20512438203"/>
    <x v="2"/>
    <n v="7387.7363999999998"/>
  </r>
  <r>
    <n v="20510343"/>
    <x v="0"/>
    <s v="COMERCIAL TEXTIL SEBASTIAN SOC.COM.RESPONS.LTDA."/>
    <n v="20510343175"/>
    <x v="0"/>
    <n v="28517.370220000001"/>
  </r>
  <r>
    <n v="20100001"/>
    <x v="0"/>
    <s v="COMPA¥IA GOODYEAR DEL PERU S.A."/>
    <n v="20100012856"/>
    <x v="3"/>
    <n v="6262.9885000000004"/>
  </r>
  <r>
    <n v="20100267846"/>
    <x v="0"/>
    <s v="COMPAÑIA INDUSTRIAL ROMOSA SAC"/>
    <n v="20100267846"/>
    <x v="2"/>
    <n v="35320.057200000003"/>
  </r>
  <r>
    <n v="20100267846"/>
    <x v="1"/>
    <s v="COMPAÑIA INDUSTRIAL ROMOSA SAC"/>
    <n v="20100267846"/>
    <x v="2"/>
    <n v="24658.3426"/>
  </r>
  <r>
    <n v="20610059148"/>
    <x v="0"/>
    <s v="COMPAÑIA VENTANILLA TEXTILES S.A.C."/>
    <n v="20610059148"/>
    <x v="4"/>
    <n v="714.32"/>
  </r>
  <r>
    <n v="20612719897"/>
    <x v="0"/>
    <s v="CONFECCIONES &amp; TEJIDOS CATITA S.A.C."/>
    <n v="20612719897"/>
    <x v="3"/>
    <n v="2447.8524299999999"/>
  </r>
  <r>
    <n v="20479998800"/>
    <x v="0"/>
    <s v="CONFECCIONES KRISTY SOCIEDAD COMERCIAL DE RESPONSABILIDAD LIMITADA"/>
    <n v="20479998800"/>
    <x v="1"/>
    <n v="17540.24624"/>
  </r>
  <r>
    <n v="20479998800"/>
    <x v="1"/>
    <s v="CONFECCIONES KRISTY SOCIEDAD COMERCIAL DE RESPONSABILIDAD LIMITADA"/>
    <n v="20479998800"/>
    <x v="1"/>
    <n v="9326.0975799999997"/>
  </r>
  <r>
    <n v="10008905"/>
    <x v="0"/>
    <s v="CONFECCIONES LANCASTER S.A."/>
    <n v="20100089051"/>
    <x v="0"/>
    <n v="3110226.7324299999"/>
  </r>
  <r>
    <n v="10008905"/>
    <x v="1"/>
    <s v="CONFECCIONES LANCASTER S.A."/>
    <n v="20100089051"/>
    <x v="0"/>
    <n v="781928.05810000002"/>
  </r>
  <r>
    <n v="20518609"/>
    <x v="0"/>
    <s v="CONFECCIONES SANDRA S.A.C."/>
    <n v="20518609000"/>
    <x v="3"/>
    <n v="20957.495999999999"/>
  </r>
  <r>
    <n v="20518609"/>
    <x v="1"/>
    <s v="CONFECCIONES SANDRA S.A.C."/>
    <n v="20518609000"/>
    <x v="3"/>
    <n v="10628.746800000001"/>
  </r>
  <r>
    <n v="20101362"/>
    <x v="0"/>
    <s v="CONFECCIONES TEXTIMAX S.A."/>
    <n v="20101362702"/>
    <x v="2"/>
    <n v="27189.134010000002"/>
  </r>
  <r>
    <n v="20477721258"/>
    <x v="0"/>
    <s v="CONSORCIO D'MELL CIA E.I.R.L."/>
    <n v="20477721258"/>
    <x v="1"/>
    <n v="12192.022000000001"/>
  </r>
  <r>
    <n v="10028736"/>
    <x v="0"/>
    <s v="COOPERATIVA INDUSTRIAL MANUFACTURAS TRES ESTRELLAS LTDA"/>
    <n v="20100287367"/>
    <x v="0"/>
    <n v="335470.61793000001"/>
  </r>
  <r>
    <n v="10028736"/>
    <x v="1"/>
    <s v="COOPERATIVA INDUSTRIAL MANUFACTURAS TRES ESTRELLAS LTDA"/>
    <n v="20100287367"/>
    <x v="0"/>
    <n v="95306.531659999993"/>
  </r>
  <r>
    <n v="20169044"/>
    <x v="0"/>
    <s v="CORCELI S.A.C"/>
    <n v="20169044733"/>
    <x v="3"/>
    <n v="342926.39669999998"/>
  </r>
  <r>
    <n v="20169044"/>
    <x v="1"/>
    <s v="CORCELI S.A.C"/>
    <n v="20169044733"/>
    <x v="3"/>
    <n v="348358.25482999999"/>
  </r>
  <r>
    <n v="10086287"/>
    <x v="0"/>
    <s v="CORDOVA BARRETO CARLOS ANTONIO"/>
    <n v="10086287965"/>
    <x v="4"/>
    <n v="1757.33"/>
  </r>
  <r>
    <n v="20523403"/>
    <x v="0"/>
    <s v="CORPORACION ALEXANDRA'S E.I.R.L."/>
    <n v="20523403061"/>
    <x v="3"/>
    <n v="5562.81"/>
  </r>
  <r>
    <n v="20601261031"/>
    <x v="0"/>
    <s v="CORPORACION ALIMENTARIA SUIZA S.A.C."/>
    <n v="20601261031"/>
    <x v="0"/>
    <n v="239341.40367"/>
  </r>
  <r>
    <n v="20601261031"/>
    <x v="1"/>
    <s v="CORPORACION ALIMENTARIA SUIZA S.A.C."/>
    <n v="20601261031"/>
    <x v="0"/>
    <n v="99694.505019999997"/>
  </r>
  <r>
    <n v="20507688480"/>
    <x v="0"/>
    <s v="CORPORACION FRAMA'Z S.A.C."/>
    <n v="20507688480"/>
    <x v="3"/>
    <n v="15700.86"/>
  </r>
  <r>
    <n v="20562695096"/>
    <x v="0"/>
    <s v="CORPORACION HGR S.A.C."/>
    <n v="20562695096"/>
    <x v="3"/>
    <n v="62302.620900000002"/>
  </r>
  <r>
    <n v="20606496533"/>
    <x v="0"/>
    <s v="CORPORACION MUSTOL SOCIEDAD ANONIMA CERRADA"/>
    <n v="20606496533"/>
    <x v="2"/>
    <n v="6573.0911800000003"/>
  </r>
  <r>
    <n v="20606496533"/>
    <x v="1"/>
    <s v="CORPORACION MUSTOL SOCIEDAD ANONIMA CERRADA"/>
    <n v="20606496533"/>
    <x v="2"/>
    <n v="12012.827799999999"/>
  </r>
  <r>
    <n v="20603776497"/>
    <x v="0"/>
    <s v="CORPORACION PAULET S.A.C."/>
    <n v="20603776497"/>
    <x v="1"/>
    <n v="5020.3988600000002"/>
  </r>
  <r>
    <n v="20603776497"/>
    <x v="1"/>
    <s v="CORPORACION PAULET S.A.C."/>
    <n v="20603776497"/>
    <x v="1"/>
    <n v="7267.0346300000001"/>
  </r>
  <r>
    <n v="20544327"/>
    <x v="0"/>
    <s v="CORPORACION PE¥A E.I.R.L."/>
    <n v="20544327985"/>
    <x v="3"/>
    <n v="43126.2376"/>
  </r>
  <r>
    <n v="20295458"/>
    <x v="0"/>
    <s v="CORPORACION REY S.A."/>
    <n v="20295458551"/>
    <x v="3"/>
    <n v="6373.20892"/>
  </r>
  <r>
    <n v="20295458"/>
    <x v="1"/>
    <s v="CORPORACION REY S.A."/>
    <n v="20295458551"/>
    <x v="3"/>
    <n v="22223.69831"/>
  </r>
  <r>
    <n v="20565898"/>
    <x v="0"/>
    <s v="CORPORACION TEXTIL AQUINO S.A.C."/>
    <n v="20565898133"/>
    <x v="3"/>
    <n v="49698.498820000001"/>
  </r>
  <r>
    <n v="20516758865"/>
    <x v="0"/>
    <s v="CORPORACION TEXTIL DEL SUR S.A.C."/>
    <n v="20516758865"/>
    <x v="2"/>
    <n v="69037.237739999997"/>
  </r>
  <r>
    <n v="2037434"/>
    <x v="0"/>
    <s v="CORPORACION WAMA S.A.C."/>
    <n v="20374343964"/>
    <x v="3"/>
    <n v="5743.1610000000001"/>
  </r>
  <r>
    <n v="20611664177"/>
    <x v="0"/>
    <s v="CORPORACION Y NEGOCIOS MARIS R Y E E.I.R.L"/>
    <n v="20611664177"/>
    <x v="3"/>
    <n v="13644.558720000001"/>
  </r>
  <r>
    <n v="20123199"/>
    <x v="0"/>
    <s v="CORTEXTIL E.I.R.L."/>
    <n v="20123199597"/>
    <x v="3"/>
    <n v="48352.913549999997"/>
  </r>
  <r>
    <n v="20123199"/>
    <x v="1"/>
    <s v="CORTEXTIL E.I.R.L."/>
    <n v="20123199597"/>
    <x v="3"/>
    <n v="6191.8663200000001"/>
  </r>
  <r>
    <n v="20549834923"/>
    <x v="1"/>
    <s v="COSUMO SOCIEDAD ANONIMA CERRADA"/>
    <n v="20549834923"/>
    <x v="3"/>
    <n v="2886.192"/>
  </r>
  <r>
    <n v="20557418"/>
    <x v="0"/>
    <s v="COTTON CREATIONS S.A.C."/>
    <n v="20557418831"/>
    <x v="0"/>
    <n v="16148.595230000001"/>
  </r>
  <r>
    <n v="20612029572"/>
    <x v="0"/>
    <s v="COTTON FRESHNESS S.A.C."/>
    <n v="20612029572"/>
    <x v="3"/>
    <n v="7500.24"/>
  </r>
  <r>
    <n v="10163544"/>
    <x v="0"/>
    <s v="COTTON KNIT S.A.C."/>
    <n v="20101635440"/>
    <x v="2"/>
    <n v="600877.38558"/>
  </r>
  <r>
    <n v="20600146"/>
    <x v="0"/>
    <s v="CREACIONES LO NUESTRO E.I.R.L."/>
    <n v="20600146395"/>
    <x v="3"/>
    <n v="3309.09222"/>
  </r>
  <r>
    <n v="20133530"/>
    <x v="0"/>
    <s v="CREDITEX  S.A.A."/>
    <n v="20133530003"/>
    <x v="2"/>
    <n v="34259.889470000002"/>
  </r>
  <r>
    <n v="20133530"/>
    <x v="1"/>
    <s v="CREDITEX  S.A.A."/>
    <n v="20133530003"/>
    <x v="2"/>
    <n v="239794.7997"/>
  </r>
  <r>
    <n v="70193374"/>
    <x v="0"/>
    <s v="CRISTIAN AARON ORLANDINI BAZAN"/>
    <n v="70193374"/>
    <x v="4"/>
    <n v="461.53707000000003"/>
  </r>
  <r>
    <n v="10244234"/>
    <x v="0"/>
    <s v="CRUZ VARGAS DE LLAPAPASCA IRMA CELIA"/>
    <n v="10026245805"/>
    <x v="1"/>
    <n v="14428.76694"/>
  </r>
  <r>
    <n v="10244234"/>
    <x v="1"/>
    <s v="CRUZ VARGAS DE LLAPAPASCA IRMA CELIA"/>
    <n v="10026245805"/>
    <x v="1"/>
    <n v="7340.1274999999996"/>
  </r>
  <r>
    <n v="20544691"/>
    <x v="0"/>
    <s v="CUMPI CAMAYOC E.I.R.L."/>
    <n v="20544691288"/>
    <x v="3"/>
    <n v="12029.89256"/>
  </r>
  <r>
    <n v="10053165295"/>
    <x v="0"/>
    <s v="CURICHIMBA OLORTEGUI JUAN JAVIER"/>
    <n v="10053165295"/>
    <x v="4"/>
    <n v="31.16"/>
  </r>
  <r>
    <n v="20535584"/>
    <x v="0"/>
    <s v="D PERU TEXTIL S.A.C."/>
    <n v="20535584452"/>
    <x v="3"/>
    <n v="14896.90497"/>
  </r>
  <r>
    <n v="20492356"/>
    <x v="0"/>
    <s v="DANNIEL KNITTING SAC"/>
    <n v="20492356230"/>
    <x v="3"/>
    <n v="70205.810150000005"/>
  </r>
  <r>
    <n v="20492356"/>
    <x v="1"/>
    <s v="DANNIEL KNITTING SAC"/>
    <n v="20492356230"/>
    <x v="3"/>
    <n v="58820.7261"/>
  </r>
  <r>
    <n v="20538829863"/>
    <x v="0"/>
    <s v="DISEÑO ACMM SOCIEDAD ANONIMA CERRADA - DISEÑO ACMM S.A.C."/>
    <n v="20538829863"/>
    <x v="0"/>
    <n v="237464.26965"/>
  </r>
  <r>
    <n v="20538829863"/>
    <x v="1"/>
    <s v="DISEÑO ACMM SOCIEDAD ANONIMA CERRADA - DISEÑO ACMM S.A.C."/>
    <n v="20538829863"/>
    <x v="0"/>
    <n v="10395.79961"/>
  </r>
  <r>
    <n v="20611258667"/>
    <x v="0"/>
    <s v="DISEÑO Y AYUDA S.A.C."/>
    <n v="20611258667"/>
    <x v="3"/>
    <n v="56248.780189999998"/>
  </r>
  <r>
    <n v="20611258667"/>
    <x v="1"/>
    <s v="DISEÑO Y AYUDA S.A.C."/>
    <n v="20611258667"/>
    <x v="3"/>
    <n v="26933.8986"/>
  </r>
  <r>
    <n v="20601468"/>
    <x v="0"/>
    <s v="DISTRIBUCIONES PROVEEDORA J &amp; V  E.I.R.L."/>
    <n v="20601468752"/>
    <x v="1"/>
    <n v="5133.0950499999999"/>
  </r>
  <r>
    <n v="20100957"/>
    <x v="0"/>
    <s v="DORA CONROY S.R.L."/>
    <n v="20100957435"/>
    <x v="0"/>
    <n v="51635.321049999999"/>
  </r>
  <r>
    <n v="20100957"/>
    <x v="1"/>
    <s v="DORA CONROY S.R.L."/>
    <n v="20100957435"/>
    <x v="0"/>
    <n v="23114.374650000002"/>
  </r>
  <r>
    <n v="20600139"/>
    <x v="0"/>
    <s v="DOVI IMPORT S.A.C."/>
    <n v="20600139348"/>
    <x v="3"/>
    <n v="57023.852619999998"/>
  </r>
  <r>
    <n v="20600139"/>
    <x v="1"/>
    <s v="DOVI IMPORT S.A.C."/>
    <n v="20600139348"/>
    <x v="3"/>
    <n v="3270.5039999999999"/>
  </r>
  <r>
    <n v="20536252"/>
    <x v="0"/>
    <s v="DYSTAR PERU S.A.C."/>
    <n v="20536252666"/>
    <x v="4"/>
    <n v="3229.0596"/>
  </r>
  <r>
    <n v="43492376"/>
    <x v="0"/>
    <s v="EDITH MEJIA CARRION"/>
    <n v="43492376"/>
    <x v="4"/>
    <n v="728.14399000000003"/>
  </r>
  <r>
    <n v="20557062719"/>
    <x v="0"/>
    <s v="EL PALACIO DE LOS HILOS &amp; LANAS E.I.R.L."/>
    <n v="20557062719"/>
    <x v="3"/>
    <n v="9873.3732400000008"/>
  </r>
  <r>
    <n v="20536828"/>
    <x v="0"/>
    <s v="ESPACIO CONCEPTO MODA E.I.R.L."/>
    <n v="20536828631"/>
    <x v="0"/>
    <n v="20232.674009999999"/>
  </r>
  <r>
    <n v="20536828"/>
    <x v="1"/>
    <s v="ESPACIO CONCEPTO MODA E.I.R.L."/>
    <n v="20536828631"/>
    <x v="0"/>
    <n v="2410.6366400000002"/>
  </r>
  <r>
    <n v="10178331138"/>
    <x v="1"/>
    <s v="ESTRADA RAMOS ELA"/>
    <n v="10178331138"/>
    <x v="1"/>
    <n v="3274.0458800000001"/>
  </r>
  <r>
    <n v="20536444"/>
    <x v="0"/>
    <s v="ETHNIC FASHION S.A.C."/>
    <n v="20536444816"/>
    <x v="1"/>
    <n v="35523.948759999999"/>
  </r>
  <r>
    <n v="20536444"/>
    <x v="1"/>
    <s v="ETHNIC FASHION S.A.C."/>
    <n v="20536444816"/>
    <x v="1"/>
    <n v="6527.0931300000002"/>
  </r>
  <r>
    <n v="20603670320"/>
    <x v="0"/>
    <s v="EVELYN MONTEZA E.I.R.L."/>
    <n v="20603670320"/>
    <x v="0"/>
    <n v="4202.3314399999999"/>
  </r>
  <r>
    <n v="20485869"/>
    <x v="1"/>
    <s v="EXPORT KAMAQ MAKI DEL PERU SRL."/>
    <n v="20485869370"/>
    <x v="1"/>
    <n v="10365.99015"/>
  </r>
  <r>
    <n v="20538303152"/>
    <x v="1"/>
    <s v="EXPORTACIONES INDI MODAS E.I.R.L."/>
    <n v="20538303152"/>
    <x v="4"/>
    <n v="5556.87"/>
  </r>
  <r>
    <n v="20604863342"/>
    <x v="0"/>
    <s v="EZZETA COMPANY E.I.R.L."/>
    <n v="20604863342"/>
    <x v="3"/>
    <n v="37231.742429999998"/>
  </r>
  <r>
    <n v="20609688531"/>
    <x v="0"/>
    <s v="F &amp; H GROUP SOCIEDAD ANONIMA CERRADA"/>
    <n v="20609688531"/>
    <x v="3"/>
    <n v="15791.8107"/>
  </r>
  <r>
    <n v="20609688531"/>
    <x v="1"/>
    <s v="F &amp; H GROUP SOCIEDAD ANONIMA CERRADA"/>
    <n v="20609688531"/>
    <x v="3"/>
    <n v="3579.01"/>
  </r>
  <r>
    <n v="10024439"/>
    <x v="0"/>
    <s v="FABRICA DE CINTAS ARBONA S.A."/>
    <n v="20100244391"/>
    <x v="3"/>
    <n v="830478.57513000001"/>
  </r>
  <r>
    <n v="10024439"/>
    <x v="1"/>
    <s v="FABRICA DE CINTAS ARBONA S.A."/>
    <n v="20100244391"/>
    <x v="3"/>
    <n v="267632.82582000003"/>
  </r>
  <r>
    <n v="10427126973"/>
    <x v="1"/>
    <s v="FELICIANO ESPINOZA CHRISTHIAN ALEXANDER"/>
    <n v="10427126973"/>
    <x v="2"/>
    <n v="20735.14227"/>
  </r>
  <r>
    <n v="20604090351"/>
    <x v="0"/>
    <s v="FIBRAS UNIDAS S.A.C"/>
    <n v="20604090351"/>
    <x v="0"/>
    <n v="136220.93979999999"/>
  </r>
  <r>
    <n v="20604090351"/>
    <x v="1"/>
    <s v="FIBRAS UNIDAS S.A.C"/>
    <n v="20604090351"/>
    <x v="0"/>
    <n v="47444.857459999999"/>
  </r>
  <r>
    <n v="10225131"/>
    <x v="0"/>
    <s v="FIERRO YACHAS JAIRZINHO JAVIER"/>
    <n v="10225131983"/>
    <x v="1"/>
    <n v="1256.6400000000001"/>
  </r>
  <r>
    <n v="10225131"/>
    <x v="1"/>
    <s v="FIERRO YACHAS JAIRZINHO JAVIER"/>
    <n v="10225131983"/>
    <x v="1"/>
    <n v="1602.81017"/>
  </r>
  <r>
    <n v="20378092"/>
    <x v="0"/>
    <s v="FILASUR S.A."/>
    <n v="20378092419"/>
    <x v="0"/>
    <n v="39009.190799999997"/>
  </r>
  <r>
    <n v="8260401"/>
    <x v="0"/>
    <s v="FIOCCO BLOISA FERNANDO CARMELO"/>
    <n v="8260400"/>
    <x v="4"/>
    <n v="1551.38"/>
  </r>
  <r>
    <n v="8260401"/>
    <x v="1"/>
    <s v="FIOCCO BLOISA FERNANDO CARMELO"/>
    <n v="8260400"/>
    <x v="4"/>
    <n v="443.47"/>
  </r>
  <r>
    <n v="8260400"/>
    <x v="0"/>
    <s v="FIOCCO BLOISA FERNANDO CARMELO..."/>
    <n v="10082604001"/>
    <x v="4"/>
    <n v="155.80000000000001"/>
  </r>
  <r>
    <n v="10462331"/>
    <x v="0"/>
    <s v="FIOCCO DIAZ JORGE VITTORIO"/>
    <n v="10462331601"/>
    <x v="5"/>
    <n v="155.80000000000001"/>
  </r>
  <r>
    <n v="20613061836"/>
    <x v="0"/>
    <s v="FLOAM SUSTAINABLE S.A.C."/>
    <n v="20613061836"/>
    <x v="0"/>
    <n v="1294.8983900000001"/>
  </r>
  <r>
    <n v="10072373"/>
    <x v="0"/>
    <s v="FLORES MARTINEZ MARCELINO"/>
    <n v="10072373800"/>
    <x v="4"/>
    <n v="45"/>
  </r>
  <r>
    <n v="20100231"/>
    <x v="0"/>
    <s v="FRANKY Y RICKY S.A."/>
    <n v="20100231817"/>
    <x v="1"/>
    <n v="1132856.1568799999"/>
  </r>
  <r>
    <n v="20100231"/>
    <x v="1"/>
    <s v="FRANKY Y RICKY S.A."/>
    <n v="20100231817"/>
    <x v="1"/>
    <n v="410713.09276999999"/>
  </r>
  <r>
    <n v="20547703325"/>
    <x v="0"/>
    <s v="G &amp; V SOLUTIONS IMPO Y EXPO S.A.C."/>
    <n v="20547703325"/>
    <x v="0"/>
    <n v="114650.45088999999"/>
  </r>
  <r>
    <n v="20515341"/>
    <x v="1"/>
    <s v="GARMENT TRADING S.A.C"/>
    <n v="20515341073"/>
    <x v="0"/>
    <n v="125611.49479"/>
  </r>
  <r>
    <n v="20606477261"/>
    <x v="0"/>
    <s v="GARO KNIT S.A.C."/>
    <n v="20606477261"/>
    <x v="3"/>
    <n v="24974.47667"/>
  </r>
  <r>
    <n v="20606477261"/>
    <x v="1"/>
    <s v="GARO KNIT S.A.C."/>
    <n v="20606477261"/>
    <x v="3"/>
    <n v="7185.6171000000004"/>
  </r>
  <r>
    <n v="10082972582"/>
    <x v="0"/>
    <s v="GAZITUA SEGURA EDGAR ANTONIO"/>
    <n v="10082972582"/>
    <x v="0"/>
    <n v="3584.3993999999998"/>
  </r>
  <r>
    <n v="20507733"/>
    <x v="0"/>
    <s v="GFKNITS S.A.C."/>
    <n v="20507733027"/>
    <x v="2"/>
    <n v="25526.011470000001"/>
  </r>
  <r>
    <n v="20507733"/>
    <x v="1"/>
    <s v="GFKNITS S.A.C."/>
    <n v="20507733027"/>
    <x v="2"/>
    <n v="6209.7333099999996"/>
  </r>
  <r>
    <n v="20603740069"/>
    <x v="0"/>
    <s v="GIANFA E.I.R.L."/>
    <n v="20603740069"/>
    <x v="3"/>
    <n v="1013.11574"/>
  </r>
  <r>
    <n v="20603740069"/>
    <x v="1"/>
    <s v="GIANFA E.I.R.L."/>
    <n v="20603740069"/>
    <x v="3"/>
    <n v="1007.8716899999999"/>
  </r>
  <r>
    <n v="20610414584"/>
    <x v="0"/>
    <s v="GLOBAL TEXTILE COMPANY SOCIEDAD ANONIMA CERRADA"/>
    <n v="20610414584"/>
    <x v="2"/>
    <n v="22214.29754"/>
  </r>
  <r>
    <n v="25195264"/>
    <x v="0"/>
    <s v="GLOPAC S.A.C."/>
    <n v="20251952648"/>
    <x v="1"/>
    <n v="633331.8628"/>
  </r>
  <r>
    <n v="25195264"/>
    <x v="1"/>
    <s v="GLOPAC S.A.C."/>
    <n v="20251952648"/>
    <x v="1"/>
    <n v="363867.97110000002"/>
  </r>
  <r>
    <n v="20519454921"/>
    <x v="0"/>
    <s v="GRUPO COMERCIAL FROM S.A.C."/>
    <n v="20519454921"/>
    <x v="0"/>
    <n v="19349.202669999999"/>
  </r>
  <r>
    <n v="20504987"/>
    <x v="1"/>
    <s v="GRUPO SANTA LUCIA S.A.C."/>
    <n v="20504987605"/>
    <x v="1"/>
    <n v="4752.9675100000004"/>
  </r>
  <r>
    <n v="10472328056"/>
    <x v="0"/>
    <s v="GUERRERO SANDOVAL LUZ VICTORIA"/>
    <n v="10472328056"/>
    <x v="1"/>
    <n v="16362.23065"/>
  </r>
  <r>
    <n v="10472328056"/>
    <x v="1"/>
    <s v="GUERRERO SANDOVAL LUZ VICTORIA"/>
    <n v="10472328056"/>
    <x v="1"/>
    <n v="4902.2546700000003"/>
  </r>
  <r>
    <n v="10094116878"/>
    <x v="0"/>
    <s v="GUEVARA MEDINA LAURA LEONOR"/>
    <n v="10094116878"/>
    <x v="3"/>
    <n v="9129.9305399999994"/>
  </r>
  <r>
    <n v="10094116878"/>
    <x v="1"/>
    <s v="GUEVARA MEDINA LAURA LEONOR"/>
    <n v="10094116878"/>
    <x v="3"/>
    <n v="2939.3159599999999"/>
  </r>
  <r>
    <n v="10295286496"/>
    <x v="0"/>
    <s v="GUILLEN GARCIA JULIA HERLINDA"/>
    <n v="10295286496"/>
    <x v="1"/>
    <n v="2672.0648099999999"/>
  </r>
  <r>
    <n v="20607851051"/>
    <x v="0"/>
    <s v="GUTFLO E.I.R.L."/>
    <n v="20607851051"/>
    <x v="3"/>
    <n v="3732.6900799999999"/>
  </r>
  <r>
    <n v="10238611640"/>
    <x v="0"/>
    <s v="HALLASI BERDEJO KARINA"/>
    <n v="10238611640"/>
    <x v="1"/>
    <n v="7729.3204100000003"/>
  </r>
  <r>
    <n v="10238611640"/>
    <x v="1"/>
    <s v="HALLASI BERDEJO KARINA"/>
    <n v="10238611640"/>
    <x v="1"/>
    <n v="1782.79052"/>
  </r>
  <r>
    <n v="20609106833"/>
    <x v="0"/>
    <s v="HANABI S.A.C."/>
    <n v="20609106833"/>
    <x v="3"/>
    <n v="29995.206310000001"/>
  </r>
  <r>
    <n v="20604087199"/>
    <x v="1"/>
    <s v="HDA PERU E.I.R.L."/>
    <n v="20604087199"/>
    <x v="0"/>
    <n v="6268.03874"/>
  </r>
  <r>
    <n v="20418108"/>
    <x v="0"/>
    <s v="HILANDERIA DE ALGODON PERUANO S.A."/>
    <n v="20418108151"/>
    <x v="0"/>
    <n v="5112.7085999999999"/>
  </r>
  <r>
    <n v="76454841"/>
    <x v="0"/>
    <s v="HINOSTROZA PEREZ WENDY"/>
    <n v="76454841"/>
    <x v="3"/>
    <n v="13961.707200000001"/>
  </r>
  <r>
    <n v="20600698"/>
    <x v="0"/>
    <s v="HOUSE OF PIMA S.A.C."/>
    <n v="20600698118"/>
    <x v="2"/>
    <n v="5037.2833600000004"/>
  </r>
  <r>
    <n v="6915732"/>
    <x v="0"/>
    <s v="HUAMAN HERRERA DE YA¥EZ MARIA LUISA"/>
    <n v="6915732"/>
    <x v="0"/>
    <n v="33388.630499999999"/>
  </r>
  <r>
    <n v="6915732"/>
    <x v="1"/>
    <s v="HUAMAN HERRERA DE YA¥EZ MARIA LUISA"/>
    <n v="6915732"/>
    <x v="0"/>
    <n v="5858.1203999999998"/>
  </r>
  <r>
    <n v="10020382"/>
    <x v="0"/>
    <s v="HUANCA QUISPE LOURDES"/>
    <n v="10020382762"/>
    <x v="1"/>
    <n v="5021.6400000000003"/>
  </r>
  <r>
    <n v="10020382"/>
    <x v="1"/>
    <s v="HUANCA QUISPE LOURDES"/>
    <n v="10020382762"/>
    <x v="1"/>
    <n v="3145.8240000000001"/>
  </r>
  <r>
    <n v="20545204097"/>
    <x v="0"/>
    <s v="IDEAS Y SOLUCIONES TEXTILES S.A.C."/>
    <n v="20545204097"/>
    <x v="2"/>
    <n v="13386.836160000001"/>
  </r>
  <r>
    <n v="20545204097"/>
    <x v="1"/>
    <s v="IDEAS Y SOLUCIONES TEXTILES S.A.C."/>
    <n v="20545204097"/>
    <x v="2"/>
    <n v="31516.48504"/>
  </r>
  <r>
    <n v="20606070579"/>
    <x v="0"/>
    <s v="IDETEX S.A.C."/>
    <n v="20606070579"/>
    <x v="3"/>
    <n v="72393.682570000004"/>
  </r>
  <r>
    <n v="20609660326"/>
    <x v="0"/>
    <s v="IMPORT L'QATEX E.I.R.L."/>
    <n v="20609660326"/>
    <x v="3"/>
    <n v="43622.069759999998"/>
  </r>
  <r>
    <n v="20609660326"/>
    <x v="1"/>
    <s v="IMPORT L'QATEX E.I.R.L."/>
    <n v="20609660326"/>
    <x v="3"/>
    <n v="62932.187760000001"/>
  </r>
  <r>
    <n v="20513276835"/>
    <x v="0"/>
    <s v="IMPORT Y EXPORT EDISON TEXTIL S.R.L"/>
    <n v="20513276835"/>
    <x v="3"/>
    <n v="5253.6766100000004"/>
  </r>
  <r>
    <n v="20513276835"/>
    <x v="1"/>
    <s v="IMPORT Y EXPORT EDISON TEXTIL S.R.L"/>
    <n v="20513276835"/>
    <x v="3"/>
    <n v="10.714079999999999"/>
  </r>
  <r>
    <n v="20611258641"/>
    <x v="0"/>
    <s v="IMPORTACIONES &amp; DISTRIBUIDORES LAGUNA`S SOCIEDAD ANONIMA CERRADA"/>
    <n v="20611258641"/>
    <x v="3"/>
    <n v="3651.2820000000002"/>
  </r>
  <r>
    <n v="20611258641"/>
    <x v="1"/>
    <s v="IMPORTACIONES &amp; DISTRIBUIDORES LAGUNA`S SOCIEDAD ANONIMA CERRADA"/>
    <n v="20611258641"/>
    <x v="3"/>
    <n v="3940.8152500000001"/>
  </r>
  <r>
    <n v="20557952315"/>
    <x v="1"/>
    <s v="IMPORTACIONES D'LEONA INTERNACIONAL E.I.R.L."/>
    <n v="20557952315"/>
    <x v="3"/>
    <n v="4182.3320000000003"/>
  </r>
  <r>
    <n v="20609977044"/>
    <x v="0"/>
    <s v="IMPORTACIONES INNOVA TEXTIL S.A.C."/>
    <n v="20609977044"/>
    <x v="3"/>
    <n v="1879.5150000000001"/>
  </r>
  <r>
    <n v="20100199"/>
    <x v="0"/>
    <s v="INCA TOPS S.A."/>
    <n v="20100199743"/>
    <x v="1"/>
    <n v="1080686.85751"/>
  </r>
  <r>
    <n v="20100199"/>
    <x v="1"/>
    <s v="INCA TOPS S.A."/>
    <n v="20100199743"/>
    <x v="1"/>
    <n v="522440.04554999998"/>
  </r>
  <r>
    <n v="20100226"/>
    <x v="0"/>
    <s v="INCALPACA TEXTILES PERUANOS DE EXPORT S.A."/>
    <n v="20100226813"/>
    <x v="1"/>
    <n v="300023.44040000002"/>
  </r>
  <r>
    <n v="20100226"/>
    <x v="1"/>
    <s v="INCALPACA TEXTILES PERUANOS DE EXPORT S.A."/>
    <n v="20100226813"/>
    <x v="1"/>
    <n v="166829.71236999999"/>
  </r>
  <r>
    <n v="20102048106"/>
    <x v="0"/>
    <s v="INDUSTRIA PERUANA DE VELAS S.R.L"/>
    <n v="20102048106"/>
    <x v="0"/>
    <n v="5755.1220000000003"/>
  </r>
  <r>
    <n v="20102048106"/>
    <x v="1"/>
    <s v="INDUSTRIA PERUANA DE VELAS S.R.L"/>
    <n v="20102048106"/>
    <x v="0"/>
    <n v="5788.0977000000003"/>
  </r>
  <r>
    <n v="20513130"/>
    <x v="0"/>
    <s v="INDUSTRIA TEXTIL DABS S.A.C."/>
    <n v="20513130385"/>
    <x v="3"/>
    <n v="26380.44038"/>
  </r>
  <r>
    <n v="20112316"/>
    <x v="0"/>
    <s v="INDUSTRIA TEXTIL DEL PACIFICO S.A."/>
    <n v="20112316249"/>
    <x v="0"/>
    <n v="2608350.0845499998"/>
  </r>
  <r>
    <n v="20112316"/>
    <x v="1"/>
    <s v="INDUSTRIA TEXTIL DEL PACIFICO S.A."/>
    <n v="20112316249"/>
    <x v="0"/>
    <n v="497642.81338000001"/>
  </r>
  <r>
    <n v="20601018"/>
    <x v="0"/>
    <s v="INDUSTRIAL TEXTIL PALACIOS SOCIEDAD ANONIMA CERRADA"/>
    <n v="20601018978"/>
    <x v="3"/>
    <n v="26492.340370000002"/>
  </r>
  <r>
    <n v="20544894"/>
    <x v="0"/>
    <s v="INDUSTRIAS ALPAFINA S.A.C."/>
    <n v="20544894715"/>
    <x v="2"/>
    <n v="212399.61116999999"/>
  </r>
  <r>
    <n v="20544894"/>
    <x v="1"/>
    <s v="INDUSTRIAS ALPAFINA S.A.C."/>
    <n v="20544894715"/>
    <x v="2"/>
    <n v="117100.83649"/>
  </r>
  <r>
    <n v="20606741872"/>
    <x v="0"/>
    <s v="INDUSTRIAS BUDDY GANG E.I.R.L"/>
    <n v="20606741872"/>
    <x v="6"/>
    <n v="16771.404289999999"/>
  </r>
  <r>
    <n v="20100064"/>
    <x v="0"/>
    <s v="INDUSTRIAS NETTALCO S.A."/>
    <n v="20100064571"/>
    <x v="0"/>
    <n v="62295.521529999998"/>
  </r>
  <r>
    <n v="20100064"/>
    <x v="1"/>
    <s v="INDUSTRIAS NETTALCO S.A."/>
    <n v="20100064571"/>
    <x v="0"/>
    <n v="48888.509400000003"/>
  </r>
  <r>
    <n v="20603301871"/>
    <x v="0"/>
    <s v="INKASIGN SOCIEDAD ANONIMA CERRADA"/>
    <n v="20603301871"/>
    <x v="2"/>
    <n v="125932.03408"/>
  </r>
  <r>
    <n v="20603301871"/>
    <x v="1"/>
    <s v="INKASIGN SOCIEDAD ANONIMA CERRADA"/>
    <n v="20603301871"/>
    <x v="2"/>
    <n v="91631.155629999994"/>
  </r>
  <r>
    <n v="20537546"/>
    <x v="0"/>
    <s v="INNOVATIVE KNITWEAR S.R.L."/>
    <n v="20537546604"/>
    <x v="3"/>
    <n v="167162.85849000001"/>
  </r>
  <r>
    <n v="20537546"/>
    <x v="1"/>
    <s v="INNOVATIVE KNITWEAR S.R.L."/>
    <n v="20537546604"/>
    <x v="3"/>
    <n v="56441.939440000002"/>
  </r>
  <r>
    <n v="20100068"/>
    <x v="0"/>
    <s v="INTRATESA S.A.C."/>
    <n v="20100066786"/>
    <x v="2"/>
    <n v="1682223.63592"/>
  </r>
  <r>
    <n v="20100068"/>
    <x v="1"/>
    <s v="INTRATESA S.A.C."/>
    <n v="20100066786"/>
    <x v="2"/>
    <n v="25455.230200000002"/>
  </r>
  <r>
    <n v="20610697811"/>
    <x v="0"/>
    <s v="INVERSIONES ACOX S.A.C."/>
    <n v="20610697811"/>
    <x v="3"/>
    <n v="8817.8796000000002"/>
  </r>
  <r>
    <n v="20513353"/>
    <x v="0"/>
    <s v="INVERSIONES AWAY S.A.C"/>
    <n v="20513353767"/>
    <x v="3"/>
    <n v="9005.6924999999992"/>
  </r>
  <r>
    <n v="20608739743"/>
    <x v="0"/>
    <s v="INVERSIONES BRAHUS SAC"/>
    <n v="20608739743"/>
    <x v="1"/>
    <n v="9411.5859299999993"/>
  </r>
  <r>
    <n v="20515487"/>
    <x v="0"/>
    <s v="INVERSIONES CHECA S.A.C."/>
    <n v="20515487361"/>
    <x v="3"/>
    <n v="1558494.96505"/>
  </r>
  <r>
    <n v="20515487"/>
    <x v="1"/>
    <s v="INVERSIONES CHECA S.A.C."/>
    <n v="20515487361"/>
    <x v="3"/>
    <n v="385121.12349000003"/>
  </r>
  <r>
    <n v="20537192"/>
    <x v="0"/>
    <s v="INVERSIONES GAUCHO S.A.C."/>
    <n v="20537192012"/>
    <x v="3"/>
    <n v="14385.741749999999"/>
  </r>
  <r>
    <n v="20517512"/>
    <x v="0"/>
    <s v="INVERSIONES INDUSTRIALES SAN MARTIN E.I.R.L"/>
    <n v="20517512304"/>
    <x v="3"/>
    <n v="29882.837469999999"/>
  </r>
  <r>
    <n v="20517512"/>
    <x v="1"/>
    <s v="INVERSIONES INDUSTRIALES SAN MARTIN E.I.R.L"/>
    <n v="20517512304"/>
    <x v="3"/>
    <n v="8885.4753999999994"/>
  </r>
  <r>
    <n v="20524073626"/>
    <x v="0"/>
    <s v="INVERSIONES INDUSTRIALES SUREÑO S.A.C."/>
    <n v="20524073626"/>
    <x v="4"/>
    <n v="4103.2"/>
  </r>
  <r>
    <n v="20609492431"/>
    <x v="0"/>
    <s v="INVERSIONES KNITOYS S.A.C.S."/>
    <n v="20609492431"/>
    <x v="1"/>
    <n v="4278.7470000000003"/>
  </r>
  <r>
    <n v="10446521"/>
    <x v="0"/>
    <s v="JARA APONTE VERONICA ESTHER"/>
    <n v="10446521611"/>
    <x v="3"/>
    <n v="134974.17245000001"/>
  </r>
  <r>
    <n v="10446521"/>
    <x v="1"/>
    <s v="JARA APONTE VERONICA ESTHER"/>
    <n v="10446521611"/>
    <x v="3"/>
    <n v="67974.831000000006"/>
  </r>
  <r>
    <n v="20505711573"/>
    <x v="0"/>
    <s v="JEGOLD E.I.R.L."/>
    <n v="20505711573"/>
    <x v="1"/>
    <n v="1731.7977599999999"/>
  </r>
  <r>
    <n v="20544546"/>
    <x v="0"/>
    <s v="JHOMI ORGANIC COTTON S.R.L."/>
    <n v="20544546270"/>
    <x v="3"/>
    <n v="60242.636610000001"/>
  </r>
  <r>
    <n v="43640477"/>
    <x v="0"/>
    <s v="JIMENEZ BERNALES GINO MANUEL"/>
    <n v="43640477"/>
    <x v="4"/>
    <n v="4654.1400000000003"/>
  </r>
  <r>
    <n v="43640477"/>
    <x v="1"/>
    <s v="JIMENEZ BERNALES GINO MANUEL"/>
    <n v="43640477"/>
    <x v="4"/>
    <n v="1330.4"/>
  </r>
  <r>
    <n v="20519073"/>
    <x v="0"/>
    <s v="JOPE REPRESENTACIONES SAC"/>
    <n v="20519073375"/>
    <x v="0"/>
    <n v="3518.2350000000001"/>
  </r>
  <r>
    <n v="7414032"/>
    <x v="0"/>
    <s v="JUAPE CAMPOS JOSE"/>
    <n v="7414032"/>
    <x v="4"/>
    <n v="31.16"/>
  </r>
  <r>
    <n v="20606351454"/>
    <x v="0"/>
    <s v="JYG GISELA BARRIETOS ZC S.A.C"/>
    <n v="20606351454"/>
    <x v="1"/>
    <n v="7034.0068000000001"/>
  </r>
  <r>
    <n v="20381456"/>
    <x v="0"/>
    <s v="KAPAROMA E.I.R.L."/>
    <n v="20381456812"/>
    <x v="2"/>
    <n v="4028.2264"/>
  </r>
  <r>
    <n v="20381456"/>
    <x v="1"/>
    <s v="KAPAROMA E.I.R.L."/>
    <n v="20381456812"/>
    <x v="2"/>
    <n v="3908.7475800000002"/>
  </r>
  <r>
    <n v="20602910"/>
    <x v="0"/>
    <s v="KATA ALPACA E.I.R.L."/>
    <n v="20602909183"/>
    <x v="1"/>
    <n v="5736.0766999999996"/>
  </r>
  <r>
    <n v="20608444271"/>
    <x v="0"/>
    <s v="KAYA CORPORATION S.A.C."/>
    <n v="20608444271"/>
    <x v="2"/>
    <n v="70025.842749999996"/>
  </r>
  <r>
    <n v="397345021"/>
    <x v="0"/>
    <s v="KAYTUMPI S.R.L."/>
    <n v="397345021"/>
    <x v="1"/>
    <n v="9343.3184000000001"/>
  </r>
  <r>
    <n v="20341823"/>
    <x v="0"/>
    <s v="KERO DESIGN S.A.C."/>
    <n v="20341823537"/>
    <x v="3"/>
    <n v="33947.313529999999"/>
  </r>
  <r>
    <n v="20341823"/>
    <x v="1"/>
    <s v="KERO DESIGN S.A.C."/>
    <n v="20341823537"/>
    <x v="3"/>
    <n v="28901.85943"/>
  </r>
  <r>
    <n v="20392692"/>
    <x v="0"/>
    <s v="KNIT COUTURE S.A.C."/>
    <n v="20392692526"/>
    <x v="2"/>
    <n v="165873.27135"/>
  </r>
  <r>
    <n v="20392692"/>
    <x v="1"/>
    <s v="KNIT COUTURE S.A.C."/>
    <n v="20392692526"/>
    <x v="2"/>
    <n v="111499.40512"/>
  </r>
  <r>
    <n v="20537398"/>
    <x v="0"/>
    <s v="KOLIBRI ART S.A.C."/>
    <n v="20537398907"/>
    <x v="3"/>
    <n v="13427.405150000001"/>
  </r>
  <r>
    <n v="20537398"/>
    <x v="1"/>
    <s v="KOLIBRI ART S.A.C."/>
    <n v="20537398907"/>
    <x v="3"/>
    <n v="43599.585039999998"/>
  </r>
  <r>
    <n v="20509303"/>
    <x v="1"/>
    <s v="KOLORFUL KOTTON E.I.R.L."/>
    <n v="20509303518"/>
    <x v="2"/>
    <n v="3537.9360000000001"/>
  </r>
  <r>
    <n v="20536199"/>
    <x v="0"/>
    <s v="KUSA COTTON PERU S.A.C."/>
    <n v="20536199242"/>
    <x v="1"/>
    <n v="663532.47725"/>
  </r>
  <r>
    <n v="20536199"/>
    <x v="1"/>
    <s v="KUSA COTTON PERU S.A.C."/>
    <n v="20536199242"/>
    <x v="1"/>
    <n v="281062.55121000001"/>
  </r>
  <r>
    <n v="20557100"/>
    <x v="0"/>
    <s v="KUYU SOCIEDAD ANONIMA CERRADA"/>
    <n v="20557100661"/>
    <x v="2"/>
    <n v="4690.7001099999998"/>
  </r>
  <r>
    <n v="20557100"/>
    <x v="1"/>
    <s v="KUYU SOCIEDAD ANONIMA CERRADA"/>
    <n v="20557100661"/>
    <x v="2"/>
    <n v="24664.507020000001"/>
  </r>
  <r>
    <n v="10009626"/>
    <x v="0"/>
    <s v="LA COLONIAL FABRICA DE HILOS S.A."/>
    <n v="20100096260"/>
    <x v="4"/>
    <n v="7790"/>
  </r>
  <r>
    <n v="10009626"/>
    <x v="1"/>
    <s v="LA COLONIAL FABRICA DE HILOS S.A."/>
    <n v="20100096260"/>
    <x v="4"/>
    <n v="1685.39"/>
  </r>
  <r>
    <n v="20513382"/>
    <x v="1"/>
    <s v="LA COTONNADE S.A.C."/>
    <n v="20513382279"/>
    <x v="4"/>
    <n v="2943.864"/>
  </r>
  <r>
    <s v="12.385.440-3"/>
    <x v="0"/>
    <s v="LEIVA DIAZ PATRICIO ESTEBAN"/>
    <n v="123854403"/>
    <x v="1"/>
    <n v="22650"/>
  </r>
  <r>
    <n v="20502141"/>
    <x v="0"/>
    <s v="LENNY KIDS S.A.C."/>
    <n v="20502141768"/>
    <x v="2"/>
    <n v="66090.870290000006"/>
  </r>
  <r>
    <n v="20502141"/>
    <x v="1"/>
    <s v="LENNY KIDS S.A.C."/>
    <n v="20502141768"/>
    <x v="2"/>
    <n v="23117.47611"/>
  </r>
  <r>
    <n v="20102089"/>
    <x v="0"/>
    <s v="LIVES S.A.C."/>
    <n v="20102089635"/>
    <x v="0"/>
    <n v="4804393.73709"/>
  </r>
  <r>
    <n v="20102089"/>
    <x v="1"/>
    <s v="LIVES S.A.C."/>
    <n v="20102089635"/>
    <x v="0"/>
    <n v="710122.96941000002"/>
  </r>
  <r>
    <n v="20553302049"/>
    <x v="0"/>
    <s v="LOMAS PREMIUM S.A.C."/>
    <n v="20553302049"/>
    <x v="3"/>
    <n v="70783.016950000005"/>
  </r>
  <r>
    <n v="20553302049"/>
    <x v="1"/>
    <s v="LOMAS PREMIUM S.A.C."/>
    <n v="20553302049"/>
    <x v="3"/>
    <n v="17176.400000000001"/>
  </r>
  <r>
    <n v="10712426255"/>
    <x v="1"/>
    <s v="LOYOLA ACUÑA NOREMAN SCOTT"/>
    <n v="10712426255"/>
    <x v="4"/>
    <n v="93.617999999999995"/>
  </r>
  <r>
    <n v="10489683615"/>
    <x v="0"/>
    <s v="LUCIANO MURGA EDSON AARON"/>
    <n v="10489683615"/>
    <x v="3"/>
    <n v="437287.40612"/>
  </r>
  <r>
    <n v="10489683615"/>
    <x v="1"/>
    <s v="LUCIANO MURGA EDSON AARON"/>
    <n v="10489683615"/>
    <x v="3"/>
    <n v="238550.44203999999"/>
  </r>
  <r>
    <n v="20606097787"/>
    <x v="0"/>
    <s v="LYON APPAREL MANUFACTURING S.A.C."/>
    <n v="20606097787"/>
    <x v="6"/>
    <n v="13070.810439999999"/>
  </r>
  <r>
    <n v="20608299115"/>
    <x v="0"/>
    <s v="MAGIC IN COTTON S.A.C."/>
    <n v="20608299115"/>
    <x v="1"/>
    <n v="5262.7476200000001"/>
  </r>
  <r>
    <n v="41584475"/>
    <x v="0"/>
    <s v="MALLMA GARCIA ROBERT LUIS"/>
    <n v="41584475"/>
    <x v="4"/>
    <n v="1551.38"/>
  </r>
  <r>
    <n v="41584475"/>
    <x v="1"/>
    <s v="MALLMA GARCIA ROBERT LUIS"/>
    <n v="41584475"/>
    <x v="4"/>
    <n v="445.97"/>
  </r>
  <r>
    <n v="10802831523"/>
    <x v="0"/>
    <s v="MAMANI ROJAS ISMAEL"/>
    <n v="10802831523"/>
    <x v="3"/>
    <n v="20187.638169999998"/>
  </r>
  <r>
    <n v="10802831523"/>
    <x v="1"/>
    <s v="MAMANI ROJAS ISMAEL"/>
    <n v="10802831523"/>
    <x v="3"/>
    <n v="5870.8294400000004"/>
  </r>
  <r>
    <n v="10430354"/>
    <x v="0"/>
    <s v="MAMANI ROJAS JULIO CESAR"/>
    <n v="10430354855"/>
    <x v="0"/>
    <n v="11731.08354"/>
  </r>
  <r>
    <n v="10430354"/>
    <x v="1"/>
    <s v="MAMANI ROJAS JULIO CESAR"/>
    <n v="10430354855"/>
    <x v="0"/>
    <n v="10538.593629999999"/>
  </r>
  <r>
    <n v="10404675"/>
    <x v="0"/>
    <s v="MANRIQUE FLORES DIETER DILLMAN"/>
    <n v="10404675520"/>
    <x v="3"/>
    <n v="64483.769"/>
  </r>
  <r>
    <n v="10404675"/>
    <x v="1"/>
    <s v="MANRIQUE FLORES DIETER DILLMAN"/>
    <n v="10404675520"/>
    <x v="3"/>
    <n v="61404.231950000001"/>
  </r>
  <r>
    <n v="20603903"/>
    <x v="0"/>
    <s v="MANU KNITS SOCIEDAD ANONIMA CERRADA"/>
    <n v="20603903049"/>
    <x v="1"/>
    <n v="15519.576300000001"/>
  </r>
  <r>
    <n v="20600094"/>
    <x v="0"/>
    <s v="MANUFACTURA BABY GABA S.A.C."/>
    <n v="20600094778"/>
    <x v="3"/>
    <n v="20747.162079999998"/>
  </r>
  <r>
    <n v="20600094"/>
    <x v="1"/>
    <s v="MANUFACTURA BABY GABA S.A.C."/>
    <n v="20600094778"/>
    <x v="3"/>
    <n v="4931.9636"/>
  </r>
  <r>
    <n v="10121647"/>
    <x v="0"/>
    <s v="MANUFACTURAS DE PASADORES Y CINTAS S.A.C."/>
    <n v="20101216471"/>
    <x v="3"/>
    <n v="21987.106390000001"/>
  </r>
  <r>
    <n v="20603725892"/>
    <x v="0"/>
    <s v="MAQUITEXL E.I.R.L."/>
    <n v="20603725892"/>
    <x v="0"/>
    <n v="41630.287609999999"/>
  </r>
  <r>
    <n v="20603725892"/>
    <x v="1"/>
    <s v="MAQUITEXL E.I.R.L."/>
    <n v="20603725892"/>
    <x v="0"/>
    <n v="14738.57344"/>
  </r>
  <r>
    <n v="10111056"/>
    <x v="0"/>
    <s v="MARGA S.R.L."/>
    <n v="20101110568"/>
    <x v="2"/>
    <n v="401599.24368999997"/>
  </r>
  <r>
    <n v="10111056"/>
    <x v="1"/>
    <s v="MARGA S.R.L."/>
    <n v="20101110568"/>
    <x v="2"/>
    <n v="49166.768750000003"/>
  </r>
  <r>
    <n v="72201005"/>
    <x v="0"/>
    <s v="MARIN CHUNGA BRENDA LORENA"/>
    <n v="72201005"/>
    <x v="4"/>
    <n v="469.81058999999999"/>
  </r>
  <r>
    <n v="20471442641"/>
    <x v="0"/>
    <s v="MATTHILDUR S.A.C."/>
    <n v="20471442641"/>
    <x v="3"/>
    <n v="12216.85916"/>
  </r>
  <r>
    <n v="10747463111"/>
    <x v="0"/>
    <s v="MAYTA MAQQUERHUA ANA PAMELA"/>
    <n v="10747463111"/>
    <x v="3"/>
    <n v="6465.3119999999999"/>
  </r>
  <r>
    <n v="20608769685"/>
    <x v="0"/>
    <s v="MECATEX PERU E.I.R.L."/>
    <n v="20608769685"/>
    <x v="0"/>
    <n v="21749.077000000001"/>
  </r>
  <r>
    <n v="40345172"/>
    <x v="0"/>
    <s v="MESTAS PACOTICO JOSEFINA"/>
    <n v="40345172"/>
    <x v="1"/>
    <n v="1212.5943"/>
  </r>
  <r>
    <n v="20348150"/>
    <x v="0"/>
    <s v="MEXTHON S.A.C."/>
    <n v="20348150627"/>
    <x v="3"/>
    <n v="7787.8705"/>
  </r>
  <r>
    <n v="20170291"/>
    <x v="0"/>
    <s v="MFH KNITS S.A.C."/>
    <n v="20170291345"/>
    <x v="1"/>
    <n v="471910.75699000002"/>
  </r>
  <r>
    <n v="20170291"/>
    <x v="1"/>
    <s v="MFH KNITS S.A.C."/>
    <n v="20170291345"/>
    <x v="1"/>
    <n v="151510.04930000001"/>
  </r>
  <r>
    <n v="20554176"/>
    <x v="0"/>
    <s v="MICASE S.A.C."/>
    <n v="20554175717"/>
    <x v="3"/>
    <n v="8076.0778200000004"/>
  </r>
  <r>
    <n v="20554176"/>
    <x v="1"/>
    <s v="MICASE S.A.C."/>
    <n v="20554175717"/>
    <x v="3"/>
    <n v="11890.010490000001"/>
  </r>
  <r>
    <n v="20100192"/>
    <x v="0"/>
    <s v="MICHELL Y CIA  S.A."/>
    <n v="20100192650"/>
    <x v="1"/>
    <n v="1152680.1300600001"/>
  </r>
  <r>
    <n v="20100192"/>
    <x v="1"/>
    <s v="MICHELL Y CIA  S.A."/>
    <n v="20100192650"/>
    <x v="1"/>
    <n v="115368.21296"/>
  </r>
  <r>
    <n v="20609555417"/>
    <x v="0"/>
    <s v="MISHA AND PUFF PERU S.A.C."/>
    <n v="20609555417"/>
    <x v="0"/>
    <n v="317869.63501000003"/>
  </r>
  <r>
    <n v="20609555417"/>
    <x v="1"/>
    <s v="MISHA AND PUFF PERU S.A.C."/>
    <n v="20609555417"/>
    <x v="0"/>
    <n v="197053.88827"/>
  </r>
  <r>
    <n v="20610815546"/>
    <x v="1"/>
    <s v="MODA CON PROPOSITO  E.I.R.L."/>
    <n v="20610815546"/>
    <x v="0"/>
    <n v="5374.03071"/>
  </r>
  <r>
    <n v="20423925"/>
    <x v="0"/>
    <s v="MODAS DIVERSAS DEL PERU S.A.C."/>
    <n v="20423925028"/>
    <x v="0"/>
    <n v="68542.28585"/>
  </r>
  <r>
    <n v="20423925"/>
    <x v="1"/>
    <s v="MODAS DIVERSAS DEL PERU S.A.C."/>
    <n v="20423925028"/>
    <x v="0"/>
    <n v="79816.797619999998"/>
  </r>
  <r>
    <n v="20605397779"/>
    <x v="0"/>
    <s v="MOMA FACTORY SAC"/>
    <n v="20605397779"/>
    <x v="2"/>
    <n v="50064.382870000001"/>
  </r>
  <r>
    <n v="20605397779"/>
    <x v="1"/>
    <s v="MOMA FACTORY SAC"/>
    <n v="20605397779"/>
    <x v="2"/>
    <n v="19034.093150000001"/>
  </r>
  <r>
    <n v="20191317"/>
    <x v="1"/>
    <s v="MONASTERIO DE SANTA CATALINA DE SEND"/>
    <n v="20191317697"/>
    <x v="1"/>
    <n v="1563.9874299999999"/>
  </r>
  <r>
    <n v="20605086366"/>
    <x v="0"/>
    <s v="NAB INNOVACIONES TEXTILES S.A.C."/>
    <n v="20605086366"/>
    <x v="3"/>
    <n v="12247.37059"/>
  </r>
  <r>
    <n v="20612188921"/>
    <x v="1"/>
    <s v="NAB TEXTILES S.A.C."/>
    <n v="20612188921"/>
    <x v="3"/>
    <n v="5182.4507000000003"/>
  </r>
  <r>
    <n v="20477830"/>
    <x v="0"/>
    <s v="NEGOCIACIONES HILADOS VARGAS S.A.C."/>
    <n v="20477830979"/>
    <x v="3"/>
    <n v="220"/>
  </r>
  <r>
    <n v="20537638126"/>
    <x v="1"/>
    <s v="NEGOCIOS BOURONCLE &amp; BENAVENTE E.I.R.L. - NEGOCIOS B &amp; B E.I.R.L."/>
    <n v="20537638126"/>
    <x v="3"/>
    <n v="7596.75612"/>
  </r>
  <r>
    <n v="20611872276"/>
    <x v="0"/>
    <s v="NEO FIBERS SOCIEDAD ANÓNIMA CERRADA"/>
    <n v="20611872276"/>
    <x v="0"/>
    <n v="4895.4655599999996"/>
  </r>
  <r>
    <n v="20611872276"/>
    <x v="1"/>
    <s v="NEO FIBERS SOCIEDAD ANÓNIMA CERRADA"/>
    <n v="20611872276"/>
    <x v="0"/>
    <n v="2230.4821099999999"/>
  </r>
  <r>
    <n v="20427896"/>
    <x v="0"/>
    <s v="NEW EXPO S.A.C."/>
    <n v="20427896740"/>
    <x v="2"/>
    <n v="414079.17015999998"/>
  </r>
  <r>
    <n v="20427896"/>
    <x v="1"/>
    <s v="NEW EXPO S.A.C."/>
    <n v="20427896740"/>
    <x v="2"/>
    <n v="62633.908719999999"/>
  </r>
  <r>
    <n v="20503859"/>
    <x v="0"/>
    <s v="NEW GAUCHO S.R.L."/>
    <n v="20503859905"/>
    <x v="3"/>
    <n v="16492.758999999998"/>
  </r>
  <r>
    <n v="20503859"/>
    <x v="1"/>
    <s v="NEW GAUCHO S.R.L."/>
    <n v="20503859905"/>
    <x v="3"/>
    <n v="3839.2919999999999"/>
  </r>
  <r>
    <n v="44444444"/>
    <x v="0"/>
    <s v="NEXANS CHILE S.A."/>
    <n v="760322636"/>
    <x v="1"/>
    <n v="112433.02693000001"/>
  </r>
  <r>
    <n v="44444444"/>
    <x v="1"/>
    <s v="NEXANS CHILE S.A."/>
    <n v="760322636"/>
    <x v="1"/>
    <n v="25955.798220000001"/>
  </r>
  <r>
    <n v="20519225"/>
    <x v="0"/>
    <s v="NIKO INTERNATIONAL SAC"/>
    <n v="20519225655"/>
    <x v="2"/>
    <n v="182903.25643000001"/>
  </r>
  <r>
    <n v="20519225"/>
    <x v="1"/>
    <s v="NIKO INTERNATIONAL SAC"/>
    <n v="20519225655"/>
    <x v="2"/>
    <n v="20959.78685"/>
  </r>
  <r>
    <n v="20551600"/>
    <x v="0"/>
    <s v="NOVA TEXTIL SOURCING &amp; TRADING S.A.C."/>
    <n v="20551600824"/>
    <x v="3"/>
    <n v="1127.7090000000001"/>
  </r>
  <r>
    <n v="20520664"/>
    <x v="0"/>
    <s v="NOVABLUE SOURCING S.A.C."/>
    <n v="20520664921"/>
    <x v="2"/>
    <n v="49851.225350000001"/>
  </r>
  <r>
    <n v="20520664"/>
    <x v="1"/>
    <s v="NOVABLUE SOURCING S.A.C."/>
    <n v="20520664921"/>
    <x v="2"/>
    <n v="92.96"/>
  </r>
  <r>
    <n v="2"/>
    <x v="0"/>
    <s v="NOVARA S.R.L."/>
    <n v="1020295022"/>
    <x v="1"/>
    <n v="98913.683170000004"/>
  </r>
  <r>
    <n v="2"/>
    <x v="1"/>
    <s v="NOVARA S.R.L."/>
    <n v="1020295022"/>
    <x v="1"/>
    <n v="10675.65429"/>
  </r>
  <r>
    <n v="20176753"/>
    <x v="0"/>
    <s v="NUIT S.R.LTDA."/>
    <n v="20176753383"/>
    <x v="3"/>
    <n v="4045.0471200000002"/>
  </r>
  <r>
    <n v="20176753"/>
    <x v="1"/>
    <s v="NUIT S.R.LTDA."/>
    <n v="20176753383"/>
    <x v="3"/>
    <n v="2155.0530800000001"/>
  </r>
  <r>
    <n v="20545450"/>
    <x v="0"/>
    <s v="NUQA CLOTHING S.A.C."/>
    <n v="20545450454"/>
    <x v="3"/>
    <n v="1110.865"/>
  </r>
  <r>
    <n v="10062586"/>
    <x v="0"/>
    <s v="OMNIPOL S.R.L."/>
    <n v="20100625866"/>
    <x v="3"/>
    <n v="27525.91"/>
  </r>
  <r>
    <n v="10062586"/>
    <x v="1"/>
    <s v="OMNIPOL S.R.L."/>
    <n v="20100625866"/>
    <x v="3"/>
    <n v="7195.91"/>
  </r>
  <r>
    <n v="20601406"/>
    <x v="0"/>
    <s v="PAIS TEXTIL S.A.C."/>
    <n v="20601406455"/>
    <x v="4"/>
    <n v="3922.5759200000002"/>
  </r>
  <r>
    <n v="20601830"/>
    <x v="0"/>
    <s v="PASAMANERIA ANARA E.I.R.L."/>
    <n v="20601830044"/>
    <x v="3"/>
    <n v="6622.7429300000003"/>
  </r>
  <r>
    <n v="20603918348"/>
    <x v="0"/>
    <s v="PASHTU REVIVAL S.A.C."/>
    <n v="20603918348"/>
    <x v="2"/>
    <n v="2984.8355799999999"/>
  </r>
  <r>
    <n v="10077628075"/>
    <x v="0"/>
    <s v="PAZ LINARES CLARA JANET"/>
    <n v="10077628075"/>
    <x v="3"/>
    <n v="24757.828000000001"/>
  </r>
  <r>
    <n v="20492696502"/>
    <x v="0"/>
    <s v="PCS EXPORT LTD. SOCIEDAD ANONIMA CERRADA"/>
    <n v="20492696502"/>
    <x v="2"/>
    <n v="40773.11808"/>
  </r>
  <r>
    <n v="20492696502"/>
    <x v="1"/>
    <s v="PCS EXPORT LTD. SOCIEDAD ANONIMA CERRADA"/>
    <n v="20492696502"/>
    <x v="2"/>
    <n v="10506.94867"/>
  </r>
  <r>
    <n v="20556849"/>
    <x v="0"/>
    <s v="PEQUE¥AS COSTURAS S.A.C."/>
    <n v="20556849103"/>
    <x v="3"/>
    <n v="20542.949130000001"/>
  </r>
  <r>
    <n v="10115540"/>
    <x v="0"/>
    <s v="PERU FASHIONS S.A.C."/>
    <n v="20101155405"/>
    <x v="3"/>
    <n v="41009.628100000002"/>
  </r>
  <r>
    <n v="20549994297"/>
    <x v="0"/>
    <s v="PERUVIAN COTTON PRODUCT SOCIEDAD ANONIMA CERRADA."/>
    <n v="20549994297"/>
    <x v="3"/>
    <n v="5972.2776000000003"/>
  </r>
  <r>
    <n v="20605275371"/>
    <x v="0"/>
    <s v="PERUVIAN KNITWEAR S.A.C."/>
    <n v="20605275371"/>
    <x v="2"/>
    <n v="44185.956189999997"/>
  </r>
  <r>
    <n v="20605275371"/>
    <x v="1"/>
    <s v="PERUVIAN KNITWEAR S.A.C."/>
    <n v="20605275371"/>
    <x v="2"/>
    <n v="7610.28172"/>
  </r>
  <r>
    <n v="10409427"/>
    <x v="0"/>
    <s v="PE¥A CASTRO CLEIDEN ANDRES"/>
    <n v="10409427141"/>
    <x v="3"/>
    <n v="19273.406309999998"/>
  </r>
  <r>
    <n v="10409427"/>
    <x v="1"/>
    <s v="PE¥A CASTRO CLEIDEN ANDRES"/>
    <n v="10409427141"/>
    <x v="3"/>
    <n v="26999.795910000001"/>
  </r>
  <r>
    <n v="10769628393"/>
    <x v="0"/>
    <s v="PEÑA CASTRO BRAYAN SAMIR"/>
    <n v="10769628393"/>
    <x v="3"/>
    <n v="9456.1802399999997"/>
  </r>
  <r>
    <n v="10769628393"/>
    <x v="1"/>
    <s v="PEÑA CASTRO BRAYAN SAMIR"/>
    <n v="10769628393"/>
    <x v="3"/>
    <n v="9782.9351200000001"/>
  </r>
  <r>
    <n v="10445402805"/>
    <x v="0"/>
    <s v="PEÑA CASTRO LUZ ROXANA"/>
    <n v="10445402805"/>
    <x v="3"/>
    <n v="33253.30704"/>
  </r>
  <r>
    <n v="10445402805"/>
    <x v="1"/>
    <s v="PEÑA CASTRO LUZ ROXANA"/>
    <n v="10445402805"/>
    <x v="3"/>
    <n v="34439.010679999999"/>
  </r>
  <r>
    <n v="42111196"/>
    <x v="0"/>
    <s v="PILCO PARI JUAN SEVERO"/>
    <n v="42111196"/>
    <x v="3"/>
    <n v="12413.39235"/>
  </r>
  <r>
    <n v="42111196"/>
    <x v="1"/>
    <s v="PILCO PARI JUAN SEVERO"/>
    <n v="42111196"/>
    <x v="3"/>
    <n v="4129.1328000000003"/>
  </r>
  <r>
    <n v="42558891"/>
    <x v="0"/>
    <s v="PITA SEGURA GALLI LORENA"/>
    <n v="42558891"/>
    <x v="0"/>
    <n v="6041.8629799999999"/>
  </r>
  <r>
    <n v="20511110"/>
    <x v="0"/>
    <s v="PLASTIC CONCEPT S.A.C."/>
    <n v="20511110522"/>
    <x v="4"/>
    <n v="5590.7553799999996"/>
  </r>
  <r>
    <n v="10106526"/>
    <x v="1"/>
    <s v="PORRAS ESPINOZA ENMA"/>
    <n v="10106526015"/>
    <x v="4"/>
    <n v="2166.7862500000001"/>
  </r>
  <r>
    <n v="20306781"/>
    <x v="0"/>
    <s v="PRECOTEX S.A.C."/>
    <n v="20306781252"/>
    <x v="0"/>
    <n v="20468.182339999999"/>
  </r>
  <r>
    <n v="20566594"/>
    <x v="0"/>
    <s v="PRODUCCION BARRANCO S.A.C."/>
    <n v="20566594987"/>
    <x v="3"/>
    <n v="9373.5062699999999"/>
  </r>
  <r>
    <n v="20566594"/>
    <x v="1"/>
    <s v="PRODUCCION BARRANCO S.A.C."/>
    <n v="20566594987"/>
    <x v="3"/>
    <n v="2854.2496500000002"/>
  </r>
  <r>
    <n v="20505573"/>
    <x v="0"/>
    <s v="PUNTOZIP S.A.C."/>
    <n v="20505573162"/>
    <x v="0"/>
    <n v="1606.2281599999999"/>
  </r>
  <r>
    <n v="10450039824"/>
    <x v="0"/>
    <s v="QUISPE RAMOS JUAN CARLOS"/>
    <n v="10450039824"/>
    <x v="3"/>
    <n v="22080.199680000002"/>
  </r>
  <r>
    <n v="10450039824"/>
    <x v="1"/>
    <s v="QUISPE RAMOS JUAN CARLOS"/>
    <n v="10450039824"/>
    <x v="3"/>
    <n v="21817.496640000001"/>
  </r>
  <r>
    <n v="308215287"/>
    <x v="0"/>
    <s v="R-PAC VIETNAM LIMITED"/>
    <n v="308215287"/>
    <x v="1"/>
    <n v="8937.1188000000002"/>
  </r>
  <r>
    <n v="19914364"/>
    <x v="0"/>
    <s v="RAFFA PROEXCO E.I.R.L."/>
    <n v="20199143647"/>
    <x v="2"/>
    <n v="13770.49711"/>
  </r>
  <r>
    <n v="20600681"/>
    <x v="0"/>
    <s v="RAINBOW TEXTILE S.A.C. - RAINTEX S.A.C."/>
    <n v="20600681258"/>
    <x v="3"/>
    <n v="384434.10512000002"/>
  </r>
  <r>
    <n v="20600681"/>
    <x v="1"/>
    <s v="RAINBOW TEXTILE S.A.C. - RAINTEX S.A.C."/>
    <n v="20600681258"/>
    <x v="3"/>
    <n v="31540.998159999999"/>
  </r>
  <r>
    <n v="20392511"/>
    <x v="0"/>
    <s v="RC KNITS SRL"/>
    <n v="20392511912"/>
    <x v="2"/>
    <n v="118862.77953"/>
  </r>
  <r>
    <n v="20392511"/>
    <x v="1"/>
    <s v="RC KNITS SRL"/>
    <n v="20392511912"/>
    <x v="2"/>
    <n v="20486.41401"/>
  </r>
  <r>
    <n v="20600102649"/>
    <x v="0"/>
    <s v="REPRESENTACIONES WAYPEX E.I.R.L."/>
    <n v="20600102649"/>
    <x v="4"/>
    <n v="4151.3999999999996"/>
  </r>
  <r>
    <n v="20602099661"/>
    <x v="0"/>
    <s v="REVOLUTION KNITS S.R.L."/>
    <n v="20602099661"/>
    <x v="3"/>
    <n v="31107.428980000001"/>
  </r>
  <r>
    <n v="20602099661"/>
    <x v="1"/>
    <s v="REVOLUTION KNITS S.R.L."/>
    <n v="20602099661"/>
    <x v="3"/>
    <n v="8438.7653200000004"/>
  </r>
  <r>
    <n v="20291751"/>
    <x v="0"/>
    <s v="RIDISA S.R.L."/>
    <n v="20291751874"/>
    <x v="3"/>
    <n v="33268.841"/>
  </r>
  <r>
    <n v="20291751"/>
    <x v="1"/>
    <s v="RIDISA S.R.L."/>
    <n v="20291751874"/>
    <x v="3"/>
    <n v="8822.0580000000009"/>
  </r>
  <r>
    <n v="10812984"/>
    <x v="0"/>
    <s v="RIOS &amp; HNOS SAC"/>
    <n v="20108129841"/>
    <x v="0"/>
    <n v="6913.5780000000004"/>
  </r>
  <r>
    <n v="10296218"/>
    <x v="0"/>
    <s v="RODRIGUEZ POZO ALDO"/>
    <n v="10296218389"/>
    <x v="1"/>
    <n v="5562.9017800000001"/>
  </r>
  <r>
    <n v="76600989"/>
    <x v="0"/>
    <s v="ROJAS MENDOZA NATANAEL ELIAZER"/>
    <n v="76600989"/>
    <x v="4"/>
    <n v="31.16"/>
  </r>
  <r>
    <n v="8711276"/>
    <x v="0"/>
    <s v="ROMALDO ALVA JUANA ALBINA"/>
    <n v="8711276"/>
    <x v="4"/>
    <n v="31.16"/>
  </r>
  <r>
    <n v="20476763"/>
    <x v="0"/>
    <s v="ROYAL KNIT S.A.C."/>
    <n v="20476763127"/>
    <x v="0"/>
    <n v="78440.760920000001"/>
  </r>
  <r>
    <n v="20476763"/>
    <x v="1"/>
    <s v="ROYAL KNIT S.A.C."/>
    <n v="20476763127"/>
    <x v="0"/>
    <n v="35110.857790000002"/>
  </r>
  <r>
    <n v="76856623"/>
    <x v="0"/>
    <s v="RUBI ZOLANGE TADEO HUERTA"/>
    <n v="76856623"/>
    <x v="4"/>
    <n v="425.60131999999999"/>
  </r>
  <r>
    <n v="10074960010"/>
    <x v="0"/>
    <s v="SALINAS ALARCON JORGE LUIS"/>
    <n v="10074960010"/>
    <x v="2"/>
    <n v="51593.448089999998"/>
  </r>
  <r>
    <n v="10074960010"/>
    <x v="1"/>
    <s v="SALINAS ALARCON JORGE LUIS"/>
    <n v="10074960010"/>
    <x v="2"/>
    <n v="16347.041370000001"/>
  </r>
  <r>
    <n v="3896981607223"/>
    <x v="0"/>
    <s v="SERAM ASIA TRADING(HK) LIMITED"/>
    <n v="3896981607223"/>
    <x v="1"/>
    <n v="111460.19500000001"/>
  </r>
  <r>
    <n v="3896981607223"/>
    <x v="1"/>
    <s v="SERAM ASIA TRADING(HK) LIMITED"/>
    <n v="3896981607223"/>
    <x v="1"/>
    <n v="306949.77614999999"/>
  </r>
  <r>
    <n v="10308583991"/>
    <x v="0"/>
    <s v="SERNA RODAS HENRRY"/>
    <n v="10308583991"/>
    <x v="1"/>
    <n v="18963.346730000001"/>
  </r>
  <r>
    <n v="10308583991"/>
    <x v="1"/>
    <s v="SERNA RODAS HENRRY"/>
    <n v="10308583991"/>
    <x v="1"/>
    <n v="6573.4967200000001"/>
  </r>
  <r>
    <n v="20606432918"/>
    <x v="0"/>
    <s v="SERVICIOS GENERALES JK COMPANY S.A.C."/>
    <n v="20606432918"/>
    <x v="4"/>
    <n v="3804"/>
  </r>
  <r>
    <n v="20609439875"/>
    <x v="0"/>
    <s v="SG KNITWEAR S.R.L."/>
    <n v="20609439875"/>
    <x v="1"/>
    <n v="7781.8599599999998"/>
  </r>
  <r>
    <n v="20611351403"/>
    <x v="0"/>
    <s v="SH SOURCING S.A.C."/>
    <n v="20611351403"/>
    <x v="0"/>
    <n v="368.70841000000001"/>
  </r>
  <r>
    <n v="20611351403"/>
    <x v="1"/>
    <s v="SH SOURCING S.A.C."/>
    <n v="20611351403"/>
    <x v="0"/>
    <n v="2690.3841600000001"/>
  </r>
  <r>
    <n v="20608727168"/>
    <x v="0"/>
    <s v="SISTER'S KIDS S.A.C."/>
    <n v="20608727168"/>
    <x v="0"/>
    <n v="1098.8208"/>
  </r>
  <r>
    <n v="38575236"/>
    <x v="0"/>
    <s v="SOLARA SOCIEDAD ANONIMA CERRADA -SOLARA S.A.C."/>
    <n v="20385752360"/>
    <x v="2"/>
    <n v="1517937.98798"/>
  </r>
  <r>
    <n v="38575236"/>
    <x v="1"/>
    <s v="SOLARA SOCIEDAD ANONIMA CERRADA -SOLARA S.A.C."/>
    <n v="20385752360"/>
    <x v="2"/>
    <n v="697671.34251999995"/>
  </r>
  <r>
    <n v="10763285"/>
    <x v="0"/>
    <s v="SOLORZANO SIRLUPU DANIEL ROMAN"/>
    <n v="10763285"/>
    <x v="4"/>
    <n v="4873.55"/>
  </r>
  <r>
    <n v="20612031992"/>
    <x v="0"/>
    <s v="SOURCING BROTHERS S.A.C."/>
    <n v="20612031992"/>
    <x v="2"/>
    <n v="7786.3797000000004"/>
  </r>
  <r>
    <n v="20612031992"/>
    <x v="1"/>
    <s v="SOURCING BROTHERS S.A.C."/>
    <n v="20612031992"/>
    <x v="2"/>
    <n v="2830.3719999999998"/>
  </r>
  <r>
    <n v="20376729"/>
    <x v="0"/>
    <s v="SOUTHERN TEXTILE NETWORK S.A.C."/>
    <n v="20376729126"/>
    <x v="2"/>
    <n v="52359.271070000003"/>
  </r>
  <r>
    <n v="20376729"/>
    <x v="1"/>
    <s v="SOUTHERN TEXTILE NETWORK S.A.C."/>
    <n v="20376729126"/>
    <x v="2"/>
    <n v="1159.2067199999999"/>
  </r>
  <r>
    <n v="20548704"/>
    <x v="0"/>
    <s v="SOX SOCIEDAD ANONIMA CERRADA"/>
    <n v="20548704180"/>
    <x v="3"/>
    <n v="12908.93"/>
  </r>
  <r>
    <n v="10469693"/>
    <x v="0"/>
    <s v="SUAREZ LANASCA MIJAHEL JERRY"/>
    <n v="10469693746"/>
    <x v="0"/>
    <n v="24808.36088"/>
  </r>
  <r>
    <n v="10369169"/>
    <x v="0"/>
    <s v="SUCESION RIOJA MONTES VICTOR"/>
    <n v="15103691696"/>
    <x v="1"/>
    <n v="2678.33232"/>
  </r>
  <r>
    <n v="10443569401"/>
    <x v="1"/>
    <s v="SUNI CHINO VIRGILIO"/>
    <n v="10443569401"/>
    <x v="3"/>
    <n v="3367.8"/>
  </r>
  <r>
    <n v="20601711703"/>
    <x v="1"/>
    <s v="SUPER PROSPERA SOCIEDAD COMERCIAL DE RESPONSABILIDAD LIMITADA"/>
    <n v="20601711703"/>
    <x v="1"/>
    <n v="14787.446459999999"/>
  </r>
  <r>
    <n v="20600473795"/>
    <x v="0"/>
    <s v="SUQUIPA SOCIEDAD ANONIMA CERRADA - SUQUIPA S.A.C."/>
    <n v="20600473795"/>
    <x v="3"/>
    <n v="55241.972759999997"/>
  </r>
  <r>
    <n v="20600473795"/>
    <x v="1"/>
    <s v="SUQUIPA SOCIEDAD ANONIMA CERRADA - SUQUIPA S.A.C."/>
    <n v="20600473795"/>
    <x v="3"/>
    <n v="17167.740229999999"/>
  </r>
  <r>
    <n v="20516702"/>
    <x v="0"/>
    <s v="SUR COLOR STAR S.A"/>
    <n v="20516702649"/>
    <x v="0"/>
    <n v="1943156.15289"/>
  </r>
  <r>
    <n v="20516702"/>
    <x v="1"/>
    <s v="SUR COLOR STAR S.A"/>
    <n v="20516702649"/>
    <x v="0"/>
    <n v="1879071.42135"/>
  </r>
  <r>
    <n v="10410372"/>
    <x v="0"/>
    <s v="TARAZONA BONILLA ALICIA"/>
    <n v="10410372571"/>
    <x v="1"/>
    <n v="6042.4811"/>
  </r>
  <r>
    <n v="10410372"/>
    <x v="1"/>
    <s v="TARAZONA BONILLA ALICIA"/>
    <n v="10410372571"/>
    <x v="1"/>
    <n v="6415.6913100000002"/>
  </r>
  <r>
    <n v="20601584"/>
    <x v="0"/>
    <s v="TEJIDOS ALPAFINA E.I.R.L."/>
    <n v="20601584981"/>
    <x v="2"/>
    <n v="197433.05157000001"/>
  </r>
  <r>
    <n v="20601584"/>
    <x v="1"/>
    <s v="TEJIDOS ALPAFINA E.I.R.L."/>
    <n v="20601584981"/>
    <x v="2"/>
    <n v="87478.064660000004"/>
  </r>
  <r>
    <n v="20555494"/>
    <x v="0"/>
    <s v="TEJIDOS PERUANOS R Y M SOCIEDAD ANONIMA CERRADA"/>
    <n v="20555494433"/>
    <x v="1"/>
    <n v="29219.409179999999"/>
  </r>
  <r>
    <n v="20555494"/>
    <x v="1"/>
    <s v="TEJIDOS PERUANOS R Y M SOCIEDAD ANONIMA CERRADA"/>
    <n v="20555494433"/>
    <x v="1"/>
    <n v="4707.5866599999999"/>
  </r>
  <r>
    <n v="20264592"/>
    <x v="0"/>
    <s v="TEXGROUP S.A."/>
    <n v="20264592497"/>
    <x v="0"/>
    <n v="741613.73537999997"/>
  </r>
  <r>
    <n v="20264592"/>
    <x v="1"/>
    <s v="TEXGROUP S.A."/>
    <n v="20264592497"/>
    <x v="0"/>
    <n v="336620.23135999998"/>
  </r>
  <r>
    <n v="20508006"/>
    <x v="0"/>
    <s v="TEXPAL S.A.C."/>
    <n v="20508006366"/>
    <x v="3"/>
    <n v="10276.86203"/>
  </r>
  <r>
    <n v="20508006"/>
    <x v="1"/>
    <s v="TEXPAL S.A.C."/>
    <n v="20508006366"/>
    <x v="3"/>
    <n v="9254.0988199999993"/>
  </r>
  <r>
    <n v="20384759"/>
    <x v="0"/>
    <s v="TEXPIMA S.A.C."/>
    <n v="20384759166"/>
    <x v="2"/>
    <n v="20171.974750000001"/>
  </r>
  <r>
    <n v="20384759"/>
    <x v="1"/>
    <s v="TEXPIMA S.A.C."/>
    <n v="20384759166"/>
    <x v="2"/>
    <n v="71.97"/>
  </r>
  <r>
    <n v="10219051"/>
    <x v="0"/>
    <s v="TEXPUNTO S.A.C."/>
    <n v="20102190514"/>
    <x v="2"/>
    <n v="5996.3918299999996"/>
  </r>
  <r>
    <n v="20509184"/>
    <x v="0"/>
    <s v="TEXTIL CARMELITA S.A.C"/>
    <n v="20509184837"/>
    <x v="2"/>
    <n v="263064.84255"/>
  </r>
  <r>
    <n v="20509184"/>
    <x v="1"/>
    <s v="TEXTIL CARMELITA S.A.C"/>
    <n v="20509184837"/>
    <x v="2"/>
    <n v="46492.284899999999"/>
  </r>
  <r>
    <n v="10076293"/>
    <x v="0"/>
    <s v="TEXTIL CHAVIN S.A.C."/>
    <n v="20100762936"/>
    <x v="2"/>
    <n v="2111438.3549299999"/>
  </r>
  <r>
    <n v="10076293"/>
    <x v="1"/>
    <s v="TEXTIL CHAVIN S.A.C."/>
    <n v="20100762936"/>
    <x v="2"/>
    <n v="483800.20825999998"/>
  </r>
  <r>
    <n v="20607013633"/>
    <x v="0"/>
    <s v="TEXTIL CLOUDER S.A.C."/>
    <n v="20607013633"/>
    <x v="1"/>
    <n v="17465.256000000001"/>
  </r>
  <r>
    <n v="20104498"/>
    <x v="0"/>
    <s v="TEXTIL DEL VALLE SOCIEDAD ANONIMA DE BENEFICIO E INTERES COLECTIVO"/>
    <n v="20104498044"/>
    <x v="0"/>
    <n v="461376.34837000002"/>
  </r>
  <r>
    <n v="20104498"/>
    <x v="1"/>
    <s v="TEXTIL DEL VALLE SOCIEDAD ANONIMA DE BENEFICIO E INTERES COLECTIVO"/>
    <n v="20104498044"/>
    <x v="0"/>
    <n v="238110.28722"/>
  </r>
  <r>
    <n v="20556726"/>
    <x v="0"/>
    <s v="TEXTIL MILEITH S.R.L."/>
    <n v="20556726877"/>
    <x v="0"/>
    <n v="24.94"/>
  </r>
  <r>
    <n v="20556726"/>
    <x v="1"/>
    <s v="TEXTIL MILEITH S.R.L."/>
    <n v="20556726877"/>
    <x v="0"/>
    <n v="15718.35067"/>
  </r>
  <r>
    <n v="41338253"/>
    <x v="0"/>
    <s v="TEXTIL VISO S.A.C."/>
    <n v="20413382531"/>
    <x v="1"/>
    <n v="44129.499799999998"/>
  </r>
  <r>
    <n v="41338253"/>
    <x v="1"/>
    <s v="TEXTIL VISO S.A.C."/>
    <n v="20413382531"/>
    <x v="1"/>
    <n v="29906.985270000001"/>
  </r>
  <r>
    <n v="20601049"/>
    <x v="0"/>
    <s v="TEXTILE BABY FASHION S.A.C."/>
    <n v="20601049164"/>
    <x v="0"/>
    <n v="15010.64099"/>
  </r>
  <r>
    <n v="20563615"/>
    <x v="0"/>
    <s v="TEXTILE CLOTHING SOLUTION S.A.C."/>
    <n v="20563615371"/>
    <x v="2"/>
    <n v="43571.847699999998"/>
  </r>
  <r>
    <n v="20550330"/>
    <x v="0"/>
    <s v="TEXTILE SOURCING COMPANY S.A.C. BIC"/>
    <n v="20550330050"/>
    <x v="2"/>
    <n v="58206.137629999997"/>
  </r>
  <r>
    <n v="20550330"/>
    <x v="1"/>
    <s v="TEXTILE SOURCING COMPANY S.A.C. BIC"/>
    <n v="20550330050"/>
    <x v="2"/>
    <n v="143.94"/>
  </r>
  <r>
    <n v="20603393881"/>
    <x v="0"/>
    <s v="TEXTILE SOURCING PERU S.A.C"/>
    <n v="20603393881"/>
    <x v="2"/>
    <n v="352409.64808999997"/>
  </r>
  <r>
    <n v="20603393881"/>
    <x v="1"/>
    <s v="TEXTILE SOURCING PERU S.A.C"/>
    <n v="20603393881"/>
    <x v="2"/>
    <n v="129589.36287"/>
  </r>
  <r>
    <n v="20600552"/>
    <x v="0"/>
    <s v="TEXTILES A &amp; D E.I.R.L."/>
    <n v="20600552491"/>
    <x v="3"/>
    <n v="127230.58641"/>
  </r>
  <r>
    <n v="20600552"/>
    <x v="1"/>
    <s v="TEXTILES A &amp; D E.I.R.L."/>
    <n v="20600552491"/>
    <x v="3"/>
    <n v="66943.442120000007"/>
  </r>
  <r>
    <n v="20537060531"/>
    <x v="0"/>
    <s v="TEXTILES HAZIEL S.A.C"/>
    <n v="20537060531"/>
    <x v="3"/>
    <n v="3322.4940000000001"/>
  </r>
  <r>
    <n v="20611520124"/>
    <x v="0"/>
    <s v="TEXTILINEA S.A.C."/>
    <n v="20611520124"/>
    <x v="3"/>
    <n v="41220.341650000002"/>
  </r>
  <r>
    <n v="20611520124"/>
    <x v="1"/>
    <s v="TEXTILINEA S.A.C."/>
    <n v="20611520124"/>
    <x v="3"/>
    <n v="8275.6277699999991"/>
  </r>
  <r>
    <n v="20513249"/>
    <x v="0"/>
    <s v="TEXTURAS Y ACABADOS S.A.C."/>
    <n v="20513249510"/>
    <x v="2"/>
    <n v="232451.69886"/>
  </r>
  <r>
    <n v="20513249"/>
    <x v="1"/>
    <s v="TEXTURAS Y ACABADOS S.A.C."/>
    <n v="20513249510"/>
    <x v="2"/>
    <n v="12251.16065"/>
  </r>
  <r>
    <n v="20516281"/>
    <x v="0"/>
    <s v="THE CAMPEON TRADING CO.SRL"/>
    <n v="20516281449"/>
    <x v="3"/>
    <n v="76387.688280000002"/>
  </r>
  <r>
    <n v="20516281"/>
    <x v="1"/>
    <s v="THE CAMPEON TRADING CO.SRL"/>
    <n v="20516281449"/>
    <x v="3"/>
    <n v="22022.553599999999"/>
  </r>
  <r>
    <n v="10702674650"/>
    <x v="0"/>
    <s v="TORIBIO ALCANTARA LIZETH MARGIORIE"/>
    <n v="10702674650"/>
    <x v="3"/>
    <n v="24299.559959999999"/>
  </r>
  <r>
    <n v="20600657"/>
    <x v="0"/>
    <s v="TRADING VENTURES S.A.C"/>
    <n v="20600657641"/>
    <x v="2"/>
    <n v="96296.17542"/>
  </r>
  <r>
    <n v="20600657"/>
    <x v="1"/>
    <s v="TRADING VENTURES S.A.C"/>
    <n v="20600657641"/>
    <x v="2"/>
    <n v="75564.827929999999"/>
  </r>
  <r>
    <n v="20551331"/>
    <x v="0"/>
    <s v="TSONKIRI SOCIEDAD ANONIMA CERRADA-TSONKIRI S.A.C."/>
    <n v="20551331661"/>
    <x v="2"/>
    <n v="827696.40781999996"/>
  </r>
  <r>
    <n v="20551331"/>
    <x v="1"/>
    <s v="TSONKIRI SOCIEDAD ANONIMA CERRADA-TSONKIRI S.A.C."/>
    <n v="20551331661"/>
    <x v="2"/>
    <n v="304227.91686"/>
  </r>
  <r>
    <n v="10194186"/>
    <x v="0"/>
    <s v="TUPAC NEVADO GISELA CARINA"/>
    <n v="10194186"/>
    <x v="4"/>
    <n v="5213.43"/>
  </r>
  <r>
    <n v="10194186"/>
    <x v="1"/>
    <s v="TUPAC NEVADO GISELA CARINA"/>
    <n v="10194186"/>
    <x v="4"/>
    <n v="1590.49"/>
  </r>
  <r>
    <n v="42595387"/>
    <x v="0"/>
    <s v="UGARTE MIRANDA VANESSA"/>
    <n v="42595387"/>
    <x v="1"/>
    <n v="7269.6502499999997"/>
  </r>
  <r>
    <n v="20521148"/>
    <x v="0"/>
    <s v="USE PIMA DESIGN E.I.R.L."/>
    <n v="20521148617"/>
    <x v="2"/>
    <n v="11141.97415"/>
  </r>
  <r>
    <n v="10306745"/>
    <x v="1"/>
    <s v="VALENCIA CALCINA ANA MARIA"/>
    <n v="10306745625"/>
    <x v="1"/>
    <n v="1450.2467099999999"/>
  </r>
  <r>
    <n v="10428751413"/>
    <x v="0"/>
    <s v="VALENCIA CARITA GUIDO"/>
    <n v="10428751413"/>
    <x v="0"/>
    <n v="3970.3040000000001"/>
  </r>
  <r>
    <n v="10428751413"/>
    <x v="1"/>
    <s v="VALENCIA CARITA GUIDO"/>
    <n v="10428751413"/>
    <x v="0"/>
    <n v="2748.5079999999998"/>
  </r>
  <r>
    <n v="20609430517"/>
    <x v="0"/>
    <s v="VALENT COMPANY S.A.C."/>
    <n v="20609430517"/>
    <x v="3"/>
    <n v="5418.2915000000003"/>
  </r>
  <r>
    <n v="71486901"/>
    <x v="0"/>
    <s v="VARGAS VARGAS ADRIANA MILAGROS"/>
    <n v="71486901"/>
    <x v="4"/>
    <n v="471.62536999999998"/>
  </r>
  <r>
    <n v="10104865254"/>
    <x v="0"/>
    <s v="VELARDE NEYRA ALEJANDRO LEANDRO"/>
    <n v="10104865254"/>
    <x v="0"/>
    <n v="8029.6205399999999"/>
  </r>
  <r>
    <n v="20511653"/>
    <x v="0"/>
    <s v="VENATOR S.A.C."/>
    <n v="20511653909"/>
    <x v="0"/>
    <n v="841475.96576000005"/>
  </r>
  <r>
    <n v="20511653"/>
    <x v="1"/>
    <s v="VENATOR S.A.C."/>
    <n v="20511653909"/>
    <x v="0"/>
    <n v="194733.09700000001"/>
  </r>
  <r>
    <n v="20168805"/>
    <x v="0"/>
    <s v="VEND S.A.C."/>
    <n v="20168805072"/>
    <x v="4"/>
    <n v="848.16"/>
  </r>
  <r>
    <n v="20168805"/>
    <x v="1"/>
    <s v="VEND S.A.C."/>
    <n v="20168805072"/>
    <x v="4"/>
    <n v="282.72000000000003"/>
  </r>
  <r>
    <n v="20611920556"/>
    <x v="0"/>
    <s v="VENTAS &amp; SOLUCIONES KOKI E.I.R.L"/>
    <n v="20611920556"/>
    <x v="1"/>
    <n v="52641.922919999997"/>
  </r>
  <r>
    <n v="10200485004"/>
    <x v="0"/>
    <s v="VERGARA IZAGUIRRE JOSE NILTON"/>
    <n v="10200485004"/>
    <x v="3"/>
    <n v="2640.6905200000001"/>
  </r>
  <r>
    <n v="20602986"/>
    <x v="0"/>
    <s v="VIDA TEXTIL S.A.C."/>
    <n v="20602986251"/>
    <x v="3"/>
    <n v="90181.698740000007"/>
  </r>
  <r>
    <n v="20602986"/>
    <x v="1"/>
    <s v="VIDA TEXTIL S.A.C."/>
    <n v="20602986251"/>
    <x v="3"/>
    <n v="32316.176220000001"/>
  </r>
  <r>
    <n v="20522254"/>
    <x v="0"/>
    <s v="VIDES E.I.R.L."/>
    <n v="20522254933"/>
    <x v="2"/>
    <n v="24102.118170000002"/>
  </r>
  <r>
    <n v="20522254"/>
    <x v="1"/>
    <s v="VIDES E.I.R.L."/>
    <n v="20522254933"/>
    <x v="2"/>
    <n v="9890.4328600000008"/>
  </r>
  <r>
    <n v="73988688"/>
    <x v="0"/>
    <s v="VILCAPOMA BANCES DANIELA SILENE"/>
    <n v="73988688"/>
    <x v="4"/>
    <n v="203.46559999999999"/>
  </r>
  <r>
    <n v="7695581"/>
    <x v="0"/>
    <s v="VILLACORTA MUSAYON AMANDA"/>
    <n v="7695581"/>
    <x v="4"/>
    <n v="3102.75"/>
  </r>
  <r>
    <n v="7695581"/>
    <x v="1"/>
    <s v="VILLACORTA MUSAYON AMANDA"/>
    <n v="7695581"/>
    <x v="4"/>
    <n v="886.93"/>
  </r>
  <r>
    <n v="42035361"/>
    <x v="0"/>
    <s v="VILLANUEVA BUSTAMANTE MARIA ROSALYN"/>
    <n v="10420353613"/>
    <x v="1"/>
    <n v="1438.77575"/>
  </r>
  <r>
    <n v="10092989980"/>
    <x v="0"/>
    <s v="VILLEGAS CORDOVA VILMA"/>
    <n v="10092989980"/>
    <x v="4"/>
    <n v="31.16"/>
  </r>
  <r>
    <n v="20609531143"/>
    <x v="0"/>
    <s v="VIRCATEX INTERNATIONAL SOURCING S.A.C."/>
    <n v="20609531143"/>
    <x v="1"/>
    <n v="26166.917679999999"/>
  </r>
  <r>
    <n v="20607722120"/>
    <x v="0"/>
    <s v="VLD INTERNATIONAL S.A.C."/>
    <n v="20607722120"/>
    <x v="2"/>
    <n v="33514.991170000001"/>
  </r>
  <r>
    <n v="20607722120"/>
    <x v="1"/>
    <s v="VLD INTERNATIONAL S.A.C."/>
    <n v="20607722120"/>
    <x v="2"/>
    <n v="3134.7545399999999"/>
  </r>
  <r>
    <n v="20453995"/>
    <x v="0"/>
    <s v="WAKA-S TEXTILES FINOS S.A.C."/>
    <n v="20453995241"/>
    <x v="1"/>
    <n v="80825.365940000003"/>
  </r>
  <r>
    <n v="20453995"/>
    <x v="1"/>
    <s v="WAKA-S TEXTILES FINOS S.A.C."/>
    <n v="20453995241"/>
    <x v="1"/>
    <n v="9146.7679800000005"/>
  </r>
  <r>
    <n v="10426253980"/>
    <x v="1"/>
    <s v="WALTERS TRUJILLO MELISSA DEL ROSARIO"/>
    <n v="10426253980"/>
    <x v="3"/>
    <n v="60236.615590000001"/>
  </r>
  <r>
    <n v="20603644299"/>
    <x v="0"/>
    <s v="WASKA S.A.C."/>
    <n v="20603644299"/>
    <x v="6"/>
    <n v="11718.64755"/>
  </r>
  <r>
    <n v="20607031852"/>
    <x v="0"/>
    <s v="WESSMAR SOTO S.A.C."/>
    <n v="20607031852"/>
    <x v="1"/>
    <n v="71393.790009999997"/>
  </r>
  <r>
    <n v="20607031852"/>
    <x v="1"/>
    <s v="WESSMAR SOTO S.A.C."/>
    <n v="20607031852"/>
    <x v="1"/>
    <n v="68439.822480000003"/>
  </r>
  <r>
    <n v="20603603592"/>
    <x v="0"/>
    <s v="WISQA PERU EIRL"/>
    <n v="20603603592"/>
    <x v="3"/>
    <n v="15768.23288"/>
  </r>
  <r>
    <n v="20603603592"/>
    <x v="1"/>
    <s v="WISQA PERU EIRL"/>
    <n v="20603603592"/>
    <x v="3"/>
    <n v="6050.8279000000002"/>
  </r>
  <r>
    <n v="20606540265"/>
    <x v="0"/>
    <s v="WOPI ABC E.I.R.L."/>
    <n v="20606540265"/>
    <x v="1"/>
    <n v="3837.5937600000002"/>
  </r>
  <r>
    <n v="20478228"/>
    <x v="0"/>
    <s v="WORKTEX SAC"/>
    <n v="20478228237"/>
    <x v="2"/>
    <n v="3861.3147300000001"/>
  </r>
  <r>
    <n v="20522506"/>
    <x v="0"/>
    <s v="WT SOURCING PERU S.A.C.BIC"/>
    <n v="20522506410"/>
    <x v="2"/>
    <n v="50072.722750000001"/>
  </r>
  <r>
    <n v="20522506"/>
    <x v="1"/>
    <s v="WT SOURCING PERU S.A.C.BIC"/>
    <n v="20522506410"/>
    <x v="2"/>
    <n v="3989.9105100000002"/>
  </r>
  <r>
    <n v="20612303046"/>
    <x v="1"/>
    <s v="YAIKER SOCKS S.A.C."/>
    <n v="20612303046"/>
    <x v="1"/>
    <n v="7410.2819600000003"/>
  </r>
  <r>
    <n v="10295610"/>
    <x v="0"/>
    <s v="YANA TORRES LIDIA"/>
    <n v="10295610889"/>
    <x v="1"/>
    <n v="6807.4143800000002"/>
  </r>
  <r>
    <n v="10295610"/>
    <x v="1"/>
    <s v="YANA TORRES LIDIA"/>
    <n v="10295610889"/>
    <x v="1"/>
    <n v="10044.45507"/>
  </r>
  <r>
    <n v="10436593"/>
    <x v="0"/>
    <s v="ZEVALLOS CHILLITUPA JORGE LUIS"/>
    <n v="10436593860"/>
    <x v="3"/>
    <n v="44115.61232"/>
  </r>
  <r>
    <n v="20509659"/>
    <x v="0"/>
    <s v="ZIG ZAG DESIGNER E.I.R.L"/>
    <n v="20509659967"/>
    <x v="2"/>
    <n v="347836.84062999999"/>
  </r>
  <r>
    <n v="20509659"/>
    <x v="1"/>
    <s v="ZIG ZAG DESIGNER E.I.R.L"/>
    <n v="20509659967"/>
    <x v="2"/>
    <n v="87761.063760000005"/>
  </r>
  <r>
    <n v="20611391545"/>
    <x v="0"/>
    <s v="ZIPPER TRADING R Y A FCO E.I.R.L."/>
    <n v="20611391545"/>
    <x v="3"/>
    <n v="43548.68910000000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n v="622444.19999999995"/>
    <n v="20041.52"/>
  </r>
  <r>
    <x v="0"/>
    <x v="1"/>
    <n v="770345.13"/>
    <n v="24654.9"/>
  </r>
  <r>
    <x v="0"/>
    <x v="2"/>
    <m/>
    <m/>
  </r>
  <r>
    <x v="0"/>
    <x v="3"/>
    <m/>
    <m/>
  </r>
  <r>
    <x v="0"/>
    <x v="4"/>
    <m/>
    <m/>
  </r>
  <r>
    <x v="0"/>
    <x v="5"/>
    <m/>
    <m/>
  </r>
  <r>
    <x v="0"/>
    <x v="6"/>
    <m/>
    <m/>
  </r>
  <r>
    <x v="0"/>
    <x v="7"/>
    <m/>
    <m/>
  </r>
  <r>
    <x v="0"/>
    <x v="8"/>
    <m/>
    <m/>
  </r>
  <r>
    <x v="0"/>
    <x v="9"/>
    <m/>
    <m/>
  </r>
  <r>
    <x v="0"/>
    <x v="10"/>
    <m/>
    <m/>
  </r>
  <r>
    <x v="0"/>
    <x v="11"/>
    <m/>
    <m/>
  </r>
  <r>
    <x v="1"/>
    <x v="0"/>
    <n v="56657.09"/>
    <n v="837.96"/>
  </r>
  <r>
    <x v="1"/>
    <x v="1"/>
    <n v="121710.55"/>
    <n v="2466.98"/>
  </r>
  <r>
    <x v="1"/>
    <x v="2"/>
    <m/>
    <n v="192.92"/>
  </r>
  <r>
    <x v="1"/>
    <x v="3"/>
    <m/>
    <m/>
  </r>
  <r>
    <x v="1"/>
    <x v="4"/>
    <m/>
    <m/>
  </r>
  <r>
    <x v="1"/>
    <x v="5"/>
    <m/>
    <m/>
  </r>
  <r>
    <x v="1"/>
    <x v="6"/>
    <m/>
    <m/>
  </r>
  <r>
    <x v="1"/>
    <x v="7"/>
    <m/>
    <m/>
  </r>
  <r>
    <x v="1"/>
    <x v="8"/>
    <m/>
    <m/>
  </r>
  <r>
    <x v="1"/>
    <x v="9"/>
    <m/>
    <m/>
  </r>
  <r>
    <x v="1"/>
    <x v="10"/>
    <m/>
    <m/>
  </r>
  <r>
    <x v="1"/>
    <x v="11"/>
    <m/>
    <m/>
  </r>
  <r>
    <x v="2"/>
    <x v="0"/>
    <n v="673049.92"/>
    <n v="19969"/>
  </r>
  <r>
    <x v="2"/>
    <x v="1"/>
    <n v="868765.75"/>
    <n v="23026.92"/>
  </r>
  <r>
    <x v="2"/>
    <x v="2"/>
    <m/>
    <n v="407.26"/>
  </r>
  <r>
    <x v="2"/>
    <x v="3"/>
    <m/>
    <m/>
  </r>
  <r>
    <x v="2"/>
    <x v="4"/>
    <m/>
    <m/>
  </r>
  <r>
    <x v="2"/>
    <x v="5"/>
    <m/>
    <m/>
  </r>
  <r>
    <x v="2"/>
    <x v="6"/>
    <m/>
    <m/>
  </r>
  <r>
    <x v="2"/>
    <x v="7"/>
    <m/>
    <m/>
  </r>
  <r>
    <x v="2"/>
    <x v="8"/>
    <m/>
    <m/>
  </r>
  <r>
    <x v="2"/>
    <x v="9"/>
    <m/>
    <m/>
  </r>
  <r>
    <x v="2"/>
    <x v="10"/>
    <m/>
    <m/>
  </r>
  <r>
    <x v="2"/>
    <x v="11"/>
    <m/>
    <m/>
  </r>
  <r>
    <x v="3"/>
    <x v="0"/>
    <n v="1217789.81"/>
    <n v="25654.98"/>
  </r>
  <r>
    <x v="3"/>
    <x v="1"/>
    <n v="1066540.7"/>
    <n v="24924.75"/>
  </r>
  <r>
    <x v="3"/>
    <x v="2"/>
    <m/>
    <n v="252.54"/>
  </r>
  <r>
    <x v="3"/>
    <x v="3"/>
    <m/>
    <m/>
  </r>
  <r>
    <x v="3"/>
    <x v="4"/>
    <m/>
    <m/>
  </r>
  <r>
    <x v="3"/>
    <x v="5"/>
    <m/>
    <m/>
  </r>
  <r>
    <x v="3"/>
    <x v="6"/>
    <m/>
    <m/>
  </r>
  <r>
    <x v="3"/>
    <x v="7"/>
    <m/>
    <m/>
  </r>
  <r>
    <x v="3"/>
    <x v="8"/>
    <m/>
    <m/>
  </r>
  <r>
    <x v="3"/>
    <x v="9"/>
    <m/>
    <m/>
  </r>
  <r>
    <x v="3"/>
    <x v="10"/>
    <m/>
    <m/>
  </r>
  <r>
    <x v="3"/>
    <x v="1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6F871-1E3E-4541-ACE5-6A350FCEA543}" name="TablaDiná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0" rowHeaderCaption="MES" colHeaderCaption="ASESOR">
  <location ref="B3:G7" firstHeaderRow="1" firstDataRow="2" firstDataCol="1"/>
  <pivotFields count="4">
    <pivotField axis="axisCol" showAll="0">
      <items count="8">
        <item x="0"/>
        <item m="1" x="5"/>
        <item m="1" x="4"/>
        <item m="1" x="6"/>
        <item x="3"/>
        <item x="2"/>
        <item x="1"/>
        <item t="default"/>
      </items>
    </pivotField>
    <pivotField axis="axisRow" showAll="0">
      <items count="13">
        <item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dataField="1" numFmtId="164"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0"/>
  </colFields>
  <colItems count="5">
    <i>
      <x/>
    </i>
    <i>
      <x v="4"/>
    </i>
    <i>
      <x v="5"/>
    </i>
    <i>
      <x v="6"/>
    </i>
    <i t="grand">
      <x/>
    </i>
  </colItems>
  <dataFields count="1">
    <dataField name=" IMPORTE (S/.) POR ASESOR" fld="2" baseField="0" baseItem="0" numFmtId="164"/>
  </dataFields>
  <formats count="45">
    <format dxfId="138">
      <pivotArea type="origin" dataOnly="0" labelOnly="1" outline="0" fieldPosition="0"/>
    </format>
    <format dxfId="137">
      <pivotArea field="0" type="button" dataOnly="0" labelOnly="1" outline="0" axis="axisCol" fieldPosition="0"/>
    </format>
    <format dxfId="136">
      <pivotArea type="topRight" dataOnly="0" labelOnly="1" outline="0" fieldPosition="0"/>
    </format>
    <format dxfId="135">
      <pivotArea field="1" type="button" dataOnly="0" labelOnly="1" outline="0" axis="axisRow" fieldPosition="0"/>
    </format>
    <format dxfId="134">
      <pivotArea dataOnly="0" labelOnly="1" fieldPosition="0">
        <references count="1">
          <reference field="0" count="0"/>
        </references>
      </pivotArea>
    </format>
    <format dxfId="133">
      <pivotArea dataOnly="0" labelOnly="1" grandCol="1" outline="0" fieldPosition="0"/>
    </format>
    <format dxfId="132">
      <pivotArea field="1" grandCol="1" collapsedLevelsAreSubtotals="1" axis="axisRow" fieldPosition="0">
        <references count="1">
          <reference field="1" count="1">
            <x v="2"/>
          </reference>
        </references>
      </pivotArea>
    </format>
    <format dxfId="131">
      <pivotArea field="1" grandCol="1" collapsedLevelsAreSubtotals="1" axis="axisRow" fieldPosition="0">
        <references count="1">
          <reference field="1" count="1">
            <x v="2"/>
          </reference>
        </references>
      </pivotArea>
    </format>
    <format dxfId="130">
      <pivotArea field="1" grandCol="1" collapsedLevelsAreSubtotals="1" axis="axisRow" fieldPosition="0">
        <references count="1">
          <reference field="1" count="1">
            <x v="0"/>
          </reference>
        </references>
      </pivotArea>
    </format>
    <format dxfId="129">
      <pivotArea field="1" grandCol="1" collapsedLevelsAreSubtotals="1" axis="axisRow" fieldPosition="0">
        <references count="1">
          <reference field="1" count="1">
            <x v="0"/>
          </reference>
        </references>
      </pivotArea>
    </format>
    <format dxfId="128">
      <pivotArea collapsedLevelsAreSubtotals="1" fieldPosition="0">
        <references count="2">
          <reference field="0" count="1" selected="0">
            <x v="4"/>
          </reference>
          <reference field="1" count="0"/>
        </references>
      </pivotArea>
    </format>
    <format dxfId="127">
      <pivotArea collapsedLevelsAreSubtotals="1" fieldPosition="0">
        <references count="2">
          <reference field="0" count="1" selected="0">
            <x v="5"/>
          </reference>
          <reference field="1" count="0"/>
        </references>
      </pivotArea>
    </format>
    <format dxfId="126">
      <pivotArea dataOnly="0" labelOnly="1" fieldPosition="0">
        <references count="1">
          <reference field="1" count="1">
            <x v="7"/>
          </reference>
        </references>
      </pivotArea>
    </format>
    <format dxfId="125">
      <pivotArea dataOnly="0" labelOnly="1" fieldPosition="0">
        <references count="1">
          <reference field="1" count="1">
            <x v="7"/>
          </reference>
        </references>
      </pivotArea>
    </format>
    <format dxfId="124">
      <pivotArea collapsedLevelsAreSubtotals="1" fieldPosition="0">
        <references count="1">
          <reference field="1" count="0"/>
        </references>
      </pivotArea>
    </format>
    <format dxfId="123">
      <pivotArea dataOnly="0" labelOnly="1" fieldPosition="0">
        <references count="1">
          <reference field="1" count="0"/>
        </references>
      </pivotArea>
    </format>
    <format dxfId="122">
      <pivotArea collapsedLevelsAreSubtotals="1" fieldPosition="0">
        <references count="1">
          <reference field="1" count="0"/>
        </references>
      </pivotArea>
    </format>
    <format dxfId="121">
      <pivotArea dataOnly="0" labelOnly="1" fieldPosition="0">
        <references count="1">
          <reference field="1" count="0"/>
        </references>
      </pivotArea>
    </format>
    <format dxfId="120">
      <pivotArea dataOnly="0" labelOnly="1" fieldPosition="0">
        <references count="1">
          <reference field="1" count="1">
            <x v="7"/>
          </reference>
        </references>
      </pivotArea>
    </format>
    <format dxfId="119">
      <pivotArea dataOnly="0" labelOnly="1" fieldPosition="0">
        <references count="1">
          <reference field="0" count="0"/>
        </references>
      </pivotArea>
    </format>
    <format dxfId="118">
      <pivotArea dataOnly="0" labelOnly="1" grandCol="1" outline="0" fieldPosition="0"/>
    </format>
    <format dxfId="117">
      <pivotArea collapsedLevelsAreSubtotals="1" fieldPosition="0">
        <references count="1">
          <reference field="1" count="0"/>
        </references>
      </pivotArea>
    </format>
    <format dxfId="116">
      <pivotArea dataOnly="0" labelOnly="1" fieldPosition="0">
        <references count="1">
          <reference field="1" count="1">
            <x v="7"/>
          </reference>
        </references>
      </pivotArea>
    </format>
    <format dxfId="115">
      <pivotArea dataOnly="0" fieldPosition="0">
        <references count="1">
          <reference field="1" count="1">
            <x v="8"/>
          </reference>
        </references>
      </pivotArea>
    </format>
    <format dxfId="114">
      <pivotArea collapsedLevelsAreSubtotals="1" fieldPosition="0">
        <references count="1">
          <reference field="1" count="1">
            <x v="8"/>
          </reference>
        </references>
      </pivotArea>
    </format>
    <format dxfId="113">
      <pivotArea dataOnly="0" labelOnly="1" fieldPosition="0">
        <references count="1">
          <reference field="1" count="1">
            <x v="7"/>
          </reference>
        </references>
      </pivotArea>
    </format>
    <format dxfId="112">
      <pivotArea collapsedLevelsAreSubtotals="1" fieldPosition="0">
        <references count="1">
          <reference field="1" count="0"/>
        </references>
      </pivotArea>
    </format>
    <format dxfId="111">
      <pivotArea grandRow="1" outline="0" collapsedLevelsAreSubtotals="1" fieldPosition="0"/>
    </format>
    <format dxfId="110">
      <pivotArea dataOnly="0" labelOnly="1" fieldPosition="0">
        <references count="1">
          <reference field="1" count="0"/>
        </references>
      </pivotArea>
    </format>
    <format dxfId="109">
      <pivotArea dataOnly="0" labelOnly="1" grandRow="1" outline="0" fieldPosition="0"/>
    </format>
    <format dxfId="108">
      <pivotArea type="origin" dataOnly="0" labelOnly="1" outline="0" fieldPosition="0"/>
    </format>
    <format dxfId="107">
      <pivotArea field="0" type="button" dataOnly="0" labelOnly="1" outline="0" axis="axisCol" fieldPosition="0"/>
    </format>
    <format dxfId="106">
      <pivotArea type="topRight" dataOnly="0" labelOnly="1" outline="0" fieldPosition="0"/>
    </format>
    <format dxfId="105">
      <pivotArea field="1" type="button" dataOnly="0" labelOnly="1" outline="0" axis="axisRow" fieldPosition="0"/>
    </format>
    <format dxfId="104">
      <pivotArea dataOnly="0" labelOnly="1" fieldPosition="0">
        <references count="1">
          <reference field="0" count="0"/>
        </references>
      </pivotArea>
    </format>
    <format dxfId="103">
      <pivotArea dataOnly="0" labelOnly="1" grandCol="1" outline="0" fieldPosition="0"/>
    </format>
    <format dxfId="102">
      <pivotArea collapsedLevelsAreSubtotals="1" fieldPosition="0">
        <references count="1">
          <reference field="1" count="1">
            <x v="8"/>
          </reference>
        </references>
      </pivotArea>
    </format>
    <format dxfId="101">
      <pivotArea dataOnly="0" labelOnly="1" fieldPosition="0">
        <references count="1">
          <reference field="1" count="1">
            <x v="8"/>
          </reference>
        </references>
      </pivotArea>
    </format>
    <format dxfId="100">
      <pivotArea collapsedLevelsAreSubtotals="1" fieldPosition="0">
        <references count="1">
          <reference field="1" count="1">
            <x v="8"/>
          </reference>
        </references>
      </pivotArea>
    </format>
    <format dxfId="99">
      <pivotArea dataOnly="0" labelOnly="1" fieldPosition="0">
        <references count="1">
          <reference field="1" count="1">
            <x v="8"/>
          </reference>
        </references>
      </pivotArea>
    </format>
    <format dxfId="98">
      <pivotArea collapsedLevelsAreSubtotals="1" fieldPosition="0">
        <references count="1">
          <reference field="1" count="1">
            <x v="9"/>
          </reference>
        </references>
      </pivotArea>
    </format>
    <format dxfId="97">
      <pivotArea dataOnly="0" labelOnly="1" fieldPosition="0">
        <references count="1">
          <reference field="1" count="1">
            <x v="9"/>
          </reference>
        </references>
      </pivotArea>
    </format>
    <format dxfId="96">
      <pivotArea collapsedLevelsAreSubtotals="1" fieldPosition="0">
        <references count="1">
          <reference field="1" count="1">
            <x v="9"/>
          </reference>
        </references>
      </pivotArea>
    </format>
    <format dxfId="95">
      <pivotArea dataOnly="0" labelOnly="1" fieldPosition="0">
        <references count="1">
          <reference field="1" count="1">
            <x v="9"/>
          </reference>
        </references>
      </pivotArea>
    </format>
    <format dxfId="94">
      <pivotArea collapsedLevelsAreSubtotals="1" fieldPosition="0">
        <references count="2">
          <reference field="0" count="4" selected="0">
            <x v="0"/>
            <x v="2"/>
            <x v="4"/>
            <x v="5"/>
          </reference>
          <reference field="1" count="1">
            <x v="9"/>
          </reference>
        </references>
      </pivotArea>
    </format>
  </formats>
  <conditionalFormats count="3"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4" selected="0">
              <x v="0"/>
              <x v="2"/>
              <x v="4"/>
              <x v="5"/>
            </reference>
            <reference field="1" count="1">
              <x v="9"/>
            </reference>
          </references>
        </pivotArea>
      </pivotAreas>
    </conditionalFormat>
    <conditionalFormat priority="1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4" selected="0">
              <x v="0"/>
              <x v="2"/>
              <x v="4"/>
              <x v="5"/>
            </reference>
            <reference field="1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4" selected="0">
              <x v="0"/>
              <x v="2"/>
              <x v="4"/>
              <x v="5"/>
            </reference>
            <reference field="1" count="1">
              <x v="8"/>
            </reference>
          </references>
        </pivotArea>
      </pivotAreas>
    </conditionalFormat>
  </conditionalFormat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7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7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7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7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7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390492-31E1-4085-AEA8-B15BD806E588}" name="TablaDinámica3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9" rowHeaderCaption="MES" colHeaderCaption="ASESOR">
  <location ref="B20:G24" firstHeaderRow="1" firstDataRow="2" firstDataCol="1"/>
  <pivotFields count="4">
    <pivotField axis="axisCol" showAll="0">
      <items count="8">
        <item x="0"/>
        <item m="1" x="5"/>
        <item m="1" x="4"/>
        <item m="1" x="6"/>
        <item x="3"/>
        <item x="2"/>
        <item x="1"/>
        <item t="default"/>
      </items>
    </pivotField>
    <pivotField axis="axisRow" showAll="0">
      <items count="13">
        <item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numFmtId="164"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0"/>
  </colFields>
  <colItems count="5">
    <i>
      <x/>
    </i>
    <i>
      <x v="4"/>
    </i>
    <i>
      <x v="5"/>
    </i>
    <i>
      <x v="6"/>
    </i>
    <i t="grand">
      <x/>
    </i>
  </colItems>
  <dataFields count="1">
    <dataField name="CANTIDAD (KG) POR ASESOR" fld="3" baseField="0" baseItem="0" numFmtId="4"/>
  </dataFields>
  <formats count="47">
    <format dxfId="185">
      <pivotArea type="origin" dataOnly="0" labelOnly="1" outline="0" fieldPosition="0"/>
    </format>
    <format dxfId="184">
      <pivotArea field="0" type="button" dataOnly="0" labelOnly="1" outline="0" axis="axisCol" fieldPosition="0"/>
    </format>
    <format dxfId="183">
      <pivotArea type="topRight" dataOnly="0" labelOnly="1" outline="0" fieldPosition="0"/>
    </format>
    <format dxfId="182">
      <pivotArea field="1" type="button" dataOnly="0" labelOnly="1" outline="0" axis="axisRow" fieldPosition="0"/>
    </format>
    <format dxfId="181">
      <pivotArea dataOnly="0" labelOnly="1" fieldPosition="0">
        <references count="1">
          <reference field="0" count="0"/>
        </references>
      </pivotArea>
    </format>
    <format dxfId="180">
      <pivotArea dataOnly="0" labelOnly="1" grandCol="1" outline="0" fieldPosition="0"/>
    </format>
    <format dxfId="179">
      <pivotArea collapsedLevelsAreSubtotals="1" fieldPosition="0">
        <references count="1">
          <reference field="1" count="0"/>
        </references>
      </pivotArea>
    </format>
    <format dxfId="178">
      <pivotArea collapsedLevelsAreSubtotals="1" fieldPosition="0">
        <references count="1">
          <reference field="1" count="0"/>
        </references>
      </pivotArea>
    </format>
    <format dxfId="177">
      <pivotArea collapsedLevelsAreSubtotals="1" fieldPosition="0">
        <references count="2">
          <reference field="0" count="1" selected="0">
            <x v="2"/>
          </reference>
          <reference field="1" count="1">
            <x v="0"/>
          </reference>
        </references>
      </pivotArea>
    </format>
    <format dxfId="176">
      <pivotArea collapsedLevelsAreSubtotals="1" fieldPosition="0">
        <references count="2">
          <reference field="0" count="1" selected="0">
            <x v="3"/>
          </reference>
          <reference field="1" count="1">
            <x v="2"/>
          </reference>
        </references>
      </pivotArea>
    </format>
    <format dxfId="175">
      <pivotArea collapsedLevelsAreSubtotals="1" fieldPosition="0">
        <references count="2">
          <reference field="0" count="1" selected="0">
            <x v="3"/>
          </reference>
          <reference field="1" count="1">
            <x v="2"/>
          </reference>
        </references>
      </pivotArea>
    </format>
    <format dxfId="174">
      <pivotArea outline="0" fieldPosition="0">
        <references count="1">
          <reference field="4294967294" count="1">
            <x v="0"/>
          </reference>
        </references>
      </pivotArea>
    </format>
    <format dxfId="173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172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171">
      <pivotArea collapsedLevelsAreSubtotals="1" fieldPosition="0">
        <references count="2">
          <reference field="0" count="1" selected="0">
            <x v="0"/>
          </reference>
          <reference field="1" count="1">
            <x v="3"/>
          </reference>
        </references>
      </pivotArea>
    </format>
    <format dxfId="170">
      <pivotArea collapsedLevelsAreSubtotals="1" fieldPosition="0">
        <references count="2">
          <reference field="0" count="1" selected="0">
            <x v="1"/>
          </reference>
          <reference field="1" count="1">
            <x v="3"/>
          </reference>
        </references>
      </pivotArea>
    </format>
    <format dxfId="169">
      <pivotArea collapsedLevelsAreSubtotals="1" fieldPosition="0">
        <references count="2">
          <reference field="0" count="1" selected="0">
            <x v="1"/>
          </reference>
          <reference field="1" count="1">
            <x v="3"/>
          </reference>
        </references>
      </pivotArea>
    </format>
    <format dxfId="168">
      <pivotArea collapsedLevelsAreSubtotals="1" fieldPosition="0">
        <references count="2">
          <reference field="0" count="1" selected="0">
            <x v="1"/>
          </reference>
          <reference field="1" count="1">
            <x v="2"/>
          </reference>
        </references>
      </pivotArea>
    </format>
    <format dxfId="167">
      <pivotArea collapsedLevelsAreSubtotals="1" fieldPosition="0">
        <references count="2">
          <reference field="0" count="1" selected="0">
            <x v="1"/>
          </reference>
          <reference field="1" count="1">
            <x v="2"/>
          </reference>
        </references>
      </pivotArea>
    </format>
    <format dxfId="166">
      <pivotArea collapsedLevelsAreSubtotals="1" fieldPosition="0">
        <references count="2">
          <reference field="0" count="1" selected="0">
            <x v="4"/>
          </reference>
          <reference field="1" count="0"/>
        </references>
      </pivotArea>
    </format>
    <format dxfId="165">
      <pivotArea collapsedLevelsAreSubtotals="1" fieldPosition="0">
        <references count="2">
          <reference field="0" count="1" selected="0">
            <x v="5"/>
          </reference>
          <reference field="1" count="0"/>
        </references>
      </pivotArea>
    </format>
    <format dxfId="164">
      <pivotArea collapsedLevelsAreSubtotals="1" fieldPosition="0">
        <references count="2">
          <reference field="0" count="1" selected="0">
            <x v="5"/>
          </reference>
          <reference field="1" count="1">
            <x v="3"/>
          </reference>
        </references>
      </pivotArea>
    </format>
    <format dxfId="163">
      <pivotArea collapsedLevelsAreSubtotals="1" fieldPosition="0">
        <references count="2">
          <reference field="0" count="1" selected="0">
            <x v="5"/>
          </reference>
          <reference field="1" count="1">
            <x v="3"/>
          </reference>
        </references>
      </pivotArea>
    </format>
    <format dxfId="162">
      <pivotArea collapsedLevelsAreSubtotals="1" fieldPosition="0">
        <references count="1">
          <reference field="1" count="2">
            <x v="7"/>
            <x v="8"/>
          </reference>
        </references>
      </pivotArea>
    </format>
    <format dxfId="161">
      <pivotArea dataOnly="0" labelOnly="1" fieldPosition="0">
        <references count="1">
          <reference field="1" count="2">
            <x v="7"/>
            <x v="8"/>
          </reference>
        </references>
      </pivotArea>
    </format>
    <format dxfId="160">
      <pivotArea dataOnly="0" fieldPosition="0">
        <references count="1">
          <reference field="1" count="1">
            <x v="8"/>
          </reference>
        </references>
      </pivotArea>
    </format>
    <format dxfId="159">
      <pivotArea dataOnly="0" labelOnly="1" fieldPosition="0">
        <references count="1">
          <reference field="1" count="1">
            <x v="8"/>
          </reference>
        </references>
      </pivotArea>
    </format>
    <format dxfId="158">
      <pivotArea collapsedLevelsAreSubtotals="1" fieldPosition="0">
        <references count="1">
          <reference field="1" count="1">
            <x v="8"/>
          </reference>
        </references>
      </pivotArea>
    </format>
    <format dxfId="157">
      <pivotArea collapsedLevelsAreSubtotals="1" fieldPosition="0">
        <references count="1">
          <reference field="1" count="0"/>
        </references>
      </pivotArea>
    </format>
    <format dxfId="156">
      <pivotArea grandRow="1" outline="0" collapsedLevelsAreSubtotals="1" fieldPosition="0"/>
    </format>
    <format dxfId="155">
      <pivotArea type="origin" dataOnly="0" labelOnly="1" outline="0" fieldPosition="0"/>
    </format>
    <format dxfId="154">
      <pivotArea field="1" type="button" dataOnly="0" labelOnly="1" outline="0" axis="axisRow" fieldPosition="0"/>
    </format>
    <format dxfId="153">
      <pivotArea dataOnly="0" labelOnly="1" fieldPosition="0">
        <references count="1">
          <reference field="1" count="0"/>
        </references>
      </pivotArea>
    </format>
    <format dxfId="152">
      <pivotArea dataOnly="0" labelOnly="1" grandRow="1" outline="0" fieldPosition="0"/>
    </format>
    <format dxfId="151">
      <pivotArea dataOnly="0" fieldPosition="0">
        <references count="1">
          <reference field="1" count="1">
            <x v="8"/>
          </reference>
        </references>
      </pivotArea>
    </format>
    <format dxfId="150">
      <pivotArea dataOnly="0" fieldPosition="0">
        <references count="1">
          <reference field="1" count="1">
            <x v="8"/>
          </reference>
        </references>
      </pivotArea>
    </format>
    <format dxfId="149">
      <pivotArea collapsedLevelsAreSubtotals="1" fieldPosition="0">
        <references count="2">
          <reference field="0" count="0" selected="0"/>
          <reference field="1" count="1">
            <x v="9"/>
          </reference>
        </references>
      </pivotArea>
    </format>
    <format dxfId="148">
      <pivotArea dataOnly="0" labelOnly="1" fieldPosition="0">
        <references count="1">
          <reference field="1" count="1">
            <x v="9"/>
          </reference>
        </references>
      </pivotArea>
    </format>
    <format dxfId="147">
      <pivotArea collapsedLevelsAreSubtotals="1" fieldPosition="0">
        <references count="2">
          <reference field="0" count="0" selected="0"/>
          <reference field="1" count="1">
            <x v="9"/>
          </reference>
        </references>
      </pivotArea>
    </format>
    <format dxfId="146">
      <pivotArea dataOnly="0" labelOnly="1" fieldPosition="0">
        <references count="1">
          <reference field="1" count="1">
            <x v="9"/>
          </reference>
        </references>
      </pivotArea>
    </format>
    <format dxfId="145">
      <pivotArea collapsedLevelsAreSubtotals="1" fieldPosition="0">
        <references count="2">
          <reference field="0" count="3" selected="0">
            <x v="4"/>
            <x v="5"/>
            <x v="6"/>
          </reference>
          <reference field="1" count="1">
            <x v="9"/>
          </reference>
        </references>
      </pivotArea>
    </format>
    <format dxfId="144">
      <pivotArea collapsedLevelsAreSubtotals="1" fieldPosition="0">
        <references count="1">
          <reference field="1" count="1">
            <x v="9"/>
          </reference>
        </references>
      </pivotArea>
    </format>
    <format dxfId="143">
      <pivotArea dataOnly="0" labelOnly="1" fieldPosition="0">
        <references count="1">
          <reference field="1" count="1">
            <x v="9"/>
          </reference>
        </references>
      </pivotArea>
    </format>
    <format dxfId="142">
      <pivotArea dataOnly="0" labelOnly="1" fieldPosition="0">
        <references count="1">
          <reference field="0" count="0"/>
        </references>
      </pivotArea>
    </format>
    <format dxfId="141">
      <pivotArea dataOnly="0" labelOnly="1" grandCol="1" outline="0" fieldPosition="0"/>
    </format>
    <format dxfId="140">
      <pivotArea collapsedLevelsAreSubtotals="1" fieldPosition="0">
        <references count="2">
          <reference field="0" count="1" selected="0">
            <x v="0"/>
          </reference>
          <reference field="1" count="1">
            <x v="3"/>
          </reference>
        </references>
      </pivotArea>
    </format>
    <format dxfId="139">
      <pivotArea collapsedLevelsAreSubtotals="1" fieldPosition="0">
        <references count="2">
          <reference field="0" count="1" selected="0">
            <x v="2"/>
          </reference>
          <reference field="1" count="1">
            <x v="0"/>
          </reference>
        </references>
      </pivotArea>
    </format>
  </formats>
  <conditionalFormats count="6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3" selected="0">
              <x v="4"/>
              <x v="5"/>
              <x v="6"/>
            </reference>
            <reference field="1" count="1">
              <x v="9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2" selected="0">
              <x v="0"/>
              <x v="2"/>
            </reference>
            <reference field="1" count="1">
              <x v="9"/>
            </reference>
          </references>
        </pivotArea>
      </pivotAreas>
    </conditionalFormat>
    <conditionalFormat priority="2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5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priority="2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4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priority="2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2" selected="0">
              <x v="0"/>
              <x v="2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priority="4">
      <pivotAreas count="2">
        <pivotArea type="data" collapsedLevelsAreSubtotals="1" fieldPosition="0">
          <references count="3">
            <reference field="4294967294" count="1" selected="0">
              <x v="0"/>
            </reference>
            <reference field="0" count="2" selected="0">
              <x v="0"/>
              <x v="2"/>
            </reference>
            <reference field="1" count="1">
              <x v="7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2" selected="0">
              <x v="0"/>
              <x v="2"/>
            </reference>
            <reference field="1" count="1">
              <x v="8"/>
            </reference>
          </references>
        </pivotArea>
      </pivotAreas>
    </conditionalFormat>
  </conditionalFormats>
  <chartFormats count="1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0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0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0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0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30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30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"/>
          </reference>
        </references>
      </pivotArea>
    </chartFormat>
  </chart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B894E-2389-4A66-BD7E-0465DE898C32}" name="TablaDinámica3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ASESOR" colHeaderCaption="MESES">
  <location ref="A12:N18" firstHeaderRow="1" firstDataRow="2" firstDataCol="1"/>
  <pivotFields count="4">
    <pivotField axis="axisRow" showAll="0" sortType="descending">
      <items count="8">
        <item x="0"/>
        <item x="3"/>
        <item x="1"/>
        <item x="2"/>
        <item m="1" x="5"/>
        <item m="1" x="4"/>
        <item m="1" x="6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autoSortScope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5">
    <i>
      <x v="1"/>
    </i>
    <i>
      <x/>
    </i>
    <i>
      <x v="3"/>
    </i>
    <i>
      <x v="2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a de CANTIDAD (KG)" fld="3" baseField="0" baseItem="0" numFmtId="4"/>
  </dataFields>
  <formats count="19">
    <format dxfId="69">
      <pivotArea outline="0" collapsedLevelsAreSubtotals="1" fieldPosition="0"/>
    </format>
    <format dxfId="68">
      <pivotArea dataOnly="0" labelOnly="1" fieldPosition="0">
        <references count="1">
          <reference field="0" count="0"/>
        </references>
      </pivotArea>
    </format>
    <format dxfId="67">
      <pivotArea grandRow="1" outline="0" collapsedLevelsAreSubtotals="1" fieldPosition="0"/>
    </format>
    <format dxfId="66">
      <pivotArea dataOnly="0" labelOnly="1" grandRow="1" outline="0" fieldPosition="0"/>
    </format>
    <format dxfId="65">
      <pivotArea field="0" grandCol="1" collapsedLevelsAreSubtotals="1" axis="axisRow" fieldPosition="0">
        <references count="1">
          <reference field="0" count="0"/>
        </references>
      </pivotArea>
    </format>
    <format dxfId="64">
      <pivotArea grandRow="1" outline="0" collapsedLevelsAreSubtotals="1" fieldPosition="0"/>
    </format>
    <format dxfId="63">
      <pivotArea outline="0" collapsedLevelsAreSubtotals="1" fieldPosition="0"/>
    </format>
    <format dxfId="62">
      <pivotArea field="1" type="button" dataOnly="0" labelOnly="1" outline="0" axis="axisCol" fieldPosition="0"/>
    </format>
    <format dxfId="61">
      <pivotArea type="topRight" dataOnly="0" labelOnly="1" outline="0" fieldPosition="0"/>
    </format>
    <format dxfId="60">
      <pivotArea dataOnly="0" labelOnly="1" fieldPosition="0">
        <references count="1">
          <reference field="1" count="0"/>
        </references>
      </pivotArea>
    </format>
    <format dxfId="59">
      <pivotArea dataOnly="0" labelOnly="1" grandCol="1" outline="0" fieldPosition="0"/>
    </format>
    <format dxfId="58">
      <pivotArea dataOnly="0" labelOnly="1" fieldPosition="0">
        <references count="1">
          <reference field="0" count="0"/>
        </references>
      </pivotArea>
    </format>
    <format dxfId="57">
      <pivotArea collapsedLevelsAreSubtotals="1" fieldPosition="0">
        <references count="1">
          <reference field="0" count="0"/>
        </references>
      </pivotArea>
    </format>
    <format dxfId="56">
      <pivotArea collapsedLevelsAreSubtotals="1" fieldPosition="0">
        <references count="2">
          <reference field="0" count="0"/>
          <reference field="1" count="1" selected="0">
            <x v="0"/>
          </reference>
        </references>
      </pivotArea>
    </format>
    <format dxfId="55">
      <pivotArea collapsedLevelsAreSubtotals="1" fieldPosition="0">
        <references count="2">
          <reference field="0" count="0"/>
          <reference field="1" count="2" selected="0">
            <x v="0"/>
            <x v="1"/>
          </reference>
        </references>
      </pivotArea>
    </format>
    <format dxfId="54">
      <pivotArea collapsedLevelsAreSubtotals="1" fieldPosition="0">
        <references count="2">
          <reference field="0" count="0"/>
          <reference field="1" count="2" selected="0">
            <x v="0"/>
            <x v="1"/>
          </reference>
        </references>
      </pivotArea>
    </format>
    <format dxfId="53">
      <pivotArea field="1" grandRow="1" outline="0" collapsedLevelsAreSubtotals="1" axis="axisCol" fieldPosition="0">
        <references count="1">
          <reference field="1" count="2" selected="0">
            <x v="0"/>
            <x v="1"/>
          </reference>
        </references>
      </pivotArea>
    </format>
    <format dxfId="52">
      <pivotArea field="1" grandRow="1" outline="0" collapsedLevelsAreSubtotals="1" axis="axisCol" fieldPosition="0">
        <references count="1">
          <reference field="1" count="1" selected="0">
            <x v="1"/>
          </reference>
        </references>
      </pivotArea>
    </format>
    <format dxfId="51">
      <pivotArea field="1" grandRow="1" outline="0" collapsedLevelsAreSubtotals="1" axis="axisCol" fieldPosition="0">
        <references count="1">
          <reference field="1" count="1" selected="0">
            <x v="0"/>
          </reference>
        </references>
      </pivotArea>
    </format>
  </formats>
  <conditionalFormats count="2"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5">
              <x v="0"/>
              <x v="1"/>
              <x v="2"/>
              <x v="3"/>
              <x v="5"/>
            </reference>
            <reference field="1" count="11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5">
              <x v="0"/>
              <x v="1"/>
              <x v="2"/>
              <x v="3"/>
              <x v="5"/>
            </reference>
            <reference field="1" count="1" selected="0">
              <x v="11"/>
            </reference>
          </references>
        </pivotArea>
      </pivotAreas>
    </conditionalFormat>
  </conditional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AB84EE-03FF-44BA-B604-50B3457077C0}" name="TablaDiná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ASESOR" colHeaderCaption="MESES">
  <location ref="A3:N9" firstHeaderRow="1" firstDataRow="2" firstDataCol="1"/>
  <pivotFields count="4">
    <pivotField axis="axisRow" showAll="0" sortType="descending">
      <items count="8">
        <item x="0"/>
        <item x="3"/>
        <item x="1"/>
        <item x="2"/>
        <item m="1" x="5"/>
        <item m="1" x="4"/>
        <item m="1" x="6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autoSortScope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</pivotFields>
  <rowFields count="1">
    <field x="0"/>
  </rowFields>
  <rowItems count="5">
    <i>
      <x v="1"/>
    </i>
    <i>
      <x v="3"/>
    </i>
    <i>
      <x/>
    </i>
    <i>
      <x v="2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a de IMPORTE (S/.)" fld="2" baseField="0" baseItem="0" numFmtId="166"/>
  </dataFields>
  <formats count="24">
    <format dxfId="93">
      <pivotArea outline="0" collapsedLevelsAreSubtotals="1" fieldPosition="0"/>
    </format>
    <format dxfId="92">
      <pivotArea collapsedLevelsAreSubtotals="1" fieldPosition="0">
        <references count="2">
          <reference field="0" count="0"/>
          <reference field="1" count="10" selected="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91">
      <pivotArea dataOnly="0" labelOnly="1" fieldPosition="0">
        <references count="1">
          <reference field="0" count="0"/>
        </references>
      </pivotArea>
    </format>
    <format dxfId="90">
      <pivotArea type="origin" dataOnly="0" labelOnly="1" outline="0" fieldPosition="0"/>
    </format>
    <format dxfId="89">
      <pivotArea field="1" type="button" dataOnly="0" labelOnly="1" outline="0" axis="axisCol" fieldPosition="0"/>
    </format>
    <format dxfId="88">
      <pivotArea type="topRight" dataOnly="0" labelOnly="1" outline="0" fieldPosition="0"/>
    </format>
    <format dxfId="87">
      <pivotArea field="0" type="button" dataOnly="0" labelOnly="1" outline="0" axis="axisRow" fieldPosition="0"/>
    </format>
    <format dxfId="86">
      <pivotArea dataOnly="0" labelOnly="1" fieldPosition="0">
        <references count="1">
          <reference field="1" count="0"/>
        </references>
      </pivotArea>
    </format>
    <format dxfId="85">
      <pivotArea dataOnly="0" labelOnly="1" grandCol="1" outline="0" fieldPosition="0"/>
    </format>
    <format dxfId="84">
      <pivotArea grandRow="1" outline="0" collapsedLevelsAreSubtotals="1" fieldPosition="0"/>
    </format>
    <format dxfId="83">
      <pivotArea dataOnly="0" labelOnly="1" grandRow="1" outline="0" fieldPosition="0"/>
    </format>
    <format dxfId="82">
      <pivotArea field="0" grandCol="1" collapsedLevelsAreSubtotals="1" axis="axisRow" fieldPosition="0">
        <references count="1">
          <reference field="0" count="0"/>
        </references>
      </pivotArea>
    </format>
    <format dxfId="81">
      <pivotArea outline="0" collapsedLevelsAreSubtotals="1" fieldPosition="0"/>
    </format>
    <format dxfId="80">
      <pivotArea field="1" type="button" dataOnly="0" labelOnly="1" outline="0" axis="axisCol" fieldPosition="0"/>
    </format>
    <format dxfId="79">
      <pivotArea type="topRight" dataOnly="0" labelOnly="1" outline="0" fieldPosition="0"/>
    </format>
    <format dxfId="78">
      <pivotArea dataOnly="0" labelOnly="1" fieldPosition="0">
        <references count="1">
          <reference field="1" count="0"/>
        </references>
      </pivotArea>
    </format>
    <format dxfId="77">
      <pivotArea dataOnly="0" labelOnly="1" grandCol="1" outline="0" fieldPosition="0"/>
    </format>
    <format dxfId="76">
      <pivotArea dataOnly="0" labelOnly="1" fieldPosition="0">
        <references count="1">
          <reference field="0" count="0"/>
        </references>
      </pivotArea>
    </format>
    <format dxfId="75">
      <pivotArea collapsedLevelsAreSubtotals="1" fieldPosition="0">
        <references count="2">
          <reference field="0" count="0"/>
          <reference field="1" count="1" selected="0">
            <x v="10"/>
          </reference>
        </references>
      </pivotArea>
    </format>
    <format dxfId="74">
      <pivotArea collapsedLevelsAreSubtotals="1" fieldPosition="0">
        <references count="2">
          <reference field="0" count="0"/>
          <reference field="1" count="1" selected="0">
            <x v="11"/>
          </reference>
        </references>
      </pivotArea>
    </format>
    <format dxfId="73">
      <pivotArea collapsedLevelsAreSubtotals="1" fieldPosition="0">
        <references count="2">
          <reference field="0" count="0"/>
          <reference field="1" count="2" selected="0">
            <x v="0"/>
            <x v="1"/>
          </reference>
        </references>
      </pivotArea>
    </format>
    <format dxfId="72">
      <pivotArea field="1" grandRow="1" outline="0" collapsedLevelsAreSubtotals="1" axis="axisCol" fieldPosition="0">
        <references count="1">
          <reference field="1" count="2" selected="0">
            <x v="0"/>
            <x v="1"/>
          </reference>
        </references>
      </pivotArea>
    </format>
    <format dxfId="71">
      <pivotArea field="1" grandRow="1" outline="0" collapsedLevelsAreSubtotals="1" axis="axisCol" fieldPosition="0">
        <references count="1">
          <reference field="1" count="1" selected="0">
            <x v="0"/>
          </reference>
        </references>
      </pivotArea>
    </format>
    <format dxfId="70">
      <pivotArea collapsedLevelsAreSubtotals="1" fieldPosition="0">
        <references count="2">
          <reference field="0" count="0"/>
          <reference field="1" count="2" selected="0">
            <x v="0"/>
            <x v="1"/>
          </reference>
        </references>
      </pivotArea>
    </format>
  </formats>
  <conditionalFormats count="3"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5">
              <x v="0"/>
              <x v="1"/>
              <x v="2"/>
              <x v="3"/>
              <x v="5"/>
            </reference>
            <reference field="1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5">
              <x v="0"/>
              <x v="1"/>
              <x v="2"/>
              <x v="3"/>
              <x v="5"/>
            </reference>
            <reference field="1" count="1" selected="0">
              <x v="10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5">
              <x v="0"/>
              <x v="1"/>
              <x v="2"/>
              <x v="3"/>
              <x v="5"/>
            </reference>
            <reference field="1" count="1" selected="0">
              <x v="11"/>
            </reference>
          </references>
        </pivotArea>
      </pivotAreas>
    </conditionalFormat>
  </conditional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A747D8-E53D-4150-9BEE-BDFDE1EB13FB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MES" colHeaderCaption="ASESOR">
  <location ref="A19:F33" firstHeaderRow="1" firstDataRow="2" firstDataCol="1"/>
  <pivotFields count="4">
    <pivotField axis="axisCol" showAll="0">
      <items count="5">
        <item x="0"/>
        <item x="2"/>
        <item x="1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64" showAll="0"/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CANTIDAD (KG) POR ASESOR" fld="3" baseField="0" baseItem="0"/>
  </dataFields>
  <formats count="22">
    <format dxfId="24">
      <pivotArea type="origin" dataOnly="0" labelOnly="1" outline="0" fieldPosition="0"/>
    </format>
    <format dxfId="23">
      <pivotArea field="0" type="button" dataOnly="0" labelOnly="1" outline="0" axis="axisCol" fieldPosition="0"/>
    </format>
    <format dxfId="22">
      <pivotArea type="topRight" dataOnly="0" labelOnly="1" outline="0" fieldPosition="0"/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0" count="0"/>
        </references>
      </pivotArea>
    </format>
    <format dxfId="19">
      <pivotArea dataOnly="0" labelOnly="1" grandCol="1" outline="0" fieldPosition="0"/>
    </format>
    <format dxfId="18">
      <pivotArea collapsedLevelsAreSubtotals="1" fieldPosition="0">
        <references count="2">
          <reference field="0" count="1" selected="0">
            <x v="0"/>
          </reference>
          <reference field="1" count="1">
            <x v="7"/>
          </reference>
        </references>
      </pivotArea>
    </format>
    <format dxfId="17">
      <pivotArea collapsedLevelsAreSubtotals="1" fieldPosition="0">
        <references count="2">
          <reference field="0" count="1" selected="0">
            <x v="0"/>
          </reference>
          <reference field="1" count="1">
            <x v="3"/>
          </reference>
        </references>
      </pivotArea>
    </format>
    <format dxfId="16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15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14">
      <pivotArea collapsedLevelsAreSubtotals="1" fieldPosition="0">
        <references count="2">
          <reference field="0" count="1" selected="0">
            <x v="1"/>
          </reference>
          <reference field="1" count="1">
            <x v="5"/>
          </reference>
        </references>
      </pivotArea>
    </format>
    <format dxfId="13">
      <pivotArea collapsedLevelsAreSubtotals="1" fieldPosition="0">
        <references count="2">
          <reference field="0" count="1" selected="0">
            <x v="1"/>
          </reference>
          <reference field="1" count="1">
            <x v="5"/>
          </reference>
        </references>
      </pivotArea>
    </format>
    <format dxfId="12">
      <pivotArea collapsedLevelsAreSubtotals="1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11">
      <pivotArea collapsedLevelsAreSubtotals="1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10">
      <pivotArea collapsedLevelsAreSubtotals="1" fieldPosition="0">
        <references count="2">
          <reference field="0" count="1" selected="0">
            <x v="2"/>
          </reference>
          <reference field="1" count="1">
            <x v="11"/>
          </reference>
        </references>
      </pivotArea>
    </format>
    <format dxfId="9">
      <pivotArea collapsedLevelsAreSubtotals="1" fieldPosition="0">
        <references count="2">
          <reference field="0" count="1" selected="0">
            <x v="2"/>
          </reference>
          <reference field="1" count="1">
            <x v="11"/>
          </reference>
        </references>
      </pivotArea>
    </format>
    <format dxfId="8">
      <pivotArea collapsedLevelsAreSubtotals="1" fieldPosition="0">
        <references count="2">
          <reference field="0" count="1" selected="0">
            <x v="3"/>
          </reference>
          <reference field="1" count="1">
            <x v="1"/>
          </reference>
        </references>
      </pivotArea>
    </format>
    <format dxfId="7">
      <pivotArea collapsedLevelsAreSubtotals="1" fieldPosition="0">
        <references count="2">
          <reference field="0" count="1" selected="0">
            <x v="3"/>
          </reference>
          <reference field="1" count="1">
            <x v="1"/>
          </reference>
        </references>
      </pivotArea>
    </format>
    <format dxfId="6">
      <pivotArea collapsedLevelsAreSubtotals="1" fieldPosition="0">
        <references count="2">
          <reference field="0" count="1" selected="0">
            <x v="3"/>
          </reference>
          <reference field="1" count="1">
            <x v="9"/>
          </reference>
        </references>
      </pivotArea>
    </format>
    <format dxfId="5">
      <pivotArea collapsedLevelsAreSubtotals="1" fieldPosition="0">
        <references count="2">
          <reference field="0" count="1" selected="0">
            <x v="3"/>
          </reference>
          <reference field="1" count="1">
            <x v="9"/>
          </reference>
        </references>
      </pivotArea>
    </format>
    <format dxfId="4">
      <pivotArea collapsedLevelsAreSubtotals="1" fieldPosition="0">
        <references count="2">
          <reference field="0" count="1" selected="0">
            <x v="3"/>
          </reference>
          <reference field="1" count="1">
            <x v="11"/>
          </reference>
        </references>
      </pivotArea>
    </format>
    <format dxfId="3">
      <pivotArea collapsedLevelsAreSubtotals="1" fieldPosition="0">
        <references count="2">
          <reference field="0" count="1" selected="0">
            <x v="3"/>
          </reference>
          <reference field="1" count="1">
            <x v="11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4" selected="0">
              <x v="0"/>
              <x v="1"/>
              <x v="2"/>
              <x v="3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F9822-953C-4D09-9F01-01181E3F3F64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 rowHeaderCaption="MES" colHeaderCaption="ASESOR">
  <location ref="A3:F17" firstHeaderRow="1" firstDataRow="2" firstDataCol="1"/>
  <pivotFields count="3">
    <pivotField axis="axisCol" showAll="0">
      <items count="5">
        <item x="0"/>
        <item x="2"/>
        <item x="1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164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 IMPORTE (S/.) POR ASESOR" fld="2" baseField="0" baseItem="0" numFmtId="164"/>
  </dataFields>
  <formats count="26">
    <format dxfId="50">
      <pivotArea type="origin" dataOnly="0" labelOnly="1" outline="0" fieldPosition="0"/>
    </format>
    <format dxfId="49">
      <pivotArea field="0" type="button" dataOnly="0" labelOnly="1" outline="0" axis="axisCol" fieldPosition="0"/>
    </format>
    <format dxfId="48">
      <pivotArea type="topRight" dataOnly="0" labelOnly="1" outline="0" fieldPosition="0"/>
    </format>
    <format dxfId="47">
      <pivotArea field="1" type="button" dataOnly="0" labelOnly="1" outline="0" axis="axisRow" fieldPosition="0"/>
    </format>
    <format dxfId="46">
      <pivotArea dataOnly="0" labelOnly="1" fieldPosition="0">
        <references count="1">
          <reference field="0" count="0"/>
        </references>
      </pivotArea>
    </format>
    <format dxfId="45">
      <pivotArea dataOnly="0" labelOnly="1" grandCol="1" outline="0" fieldPosition="0"/>
    </format>
    <format dxfId="44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43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42">
      <pivotArea collapsedLevelsAreSubtotals="1" fieldPosition="0">
        <references count="2">
          <reference field="0" count="1" selected="0">
            <x v="0"/>
          </reference>
          <reference field="1" count="1">
            <x v="4"/>
          </reference>
        </references>
      </pivotArea>
    </format>
    <format dxfId="41">
      <pivotArea collapsedLevelsAreSubtotals="1" fieldPosition="0">
        <references count="2">
          <reference field="0" count="1" selected="0">
            <x v="0"/>
          </reference>
          <reference field="1" count="1">
            <x v="4"/>
          </reference>
        </references>
      </pivotArea>
    </format>
    <format dxfId="40">
      <pivotArea collapsedLevelsAreSubtotals="1" fieldPosition="0">
        <references count="2">
          <reference field="0" count="1" selected="0">
            <x v="1"/>
          </reference>
          <reference field="1" count="1">
            <x v="8"/>
          </reference>
        </references>
      </pivotArea>
    </format>
    <format dxfId="39">
      <pivotArea collapsedLevelsAreSubtotals="1" fieldPosition="0">
        <references count="2">
          <reference field="0" count="1" selected="0">
            <x v="1"/>
          </reference>
          <reference field="1" count="1">
            <x v="8"/>
          </reference>
        </references>
      </pivotArea>
    </format>
    <format dxfId="38">
      <pivotArea collapsedLevelsAreSubtotals="1" fieldPosition="0">
        <references count="2">
          <reference field="0" count="1" selected="0">
            <x v="1"/>
          </reference>
          <reference field="1" count="1">
            <x v="11"/>
          </reference>
        </references>
      </pivotArea>
    </format>
    <format dxfId="37">
      <pivotArea collapsedLevelsAreSubtotals="1" fieldPosition="0">
        <references count="2">
          <reference field="0" count="1" selected="0">
            <x v="1"/>
          </reference>
          <reference field="1" count="1">
            <x v="11"/>
          </reference>
        </references>
      </pivotArea>
    </format>
    <format dxfId="36">
      <pivotArea collapsedLevelsAreSubtotals="1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35">
      <pivotArea collapsedLevelsAreSubtotals="1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34">
      <pivotArea collapsedLevelsAreSubtotals="1" fieldPosition="0">
        <references count="2">
          <reference field="0" count="1" selected="0">
            <x v="2"/>
          </reference>
          <reference field="1" count="1">
            <x v="11"/>
          </reference>
        </references>
      </pivotArea>
    </format>
    <format dxfId="33">
      <pivotArea collapsedLevelsAreSubtotals="1" fieldPosition="0">
        <references count="2">
          <reference field="0" count="1" selected="0">
            <x v="2"/>
          </reference>
          <reference field="1" count="1">
            <x v="11"/>
          </reference>
        </references>
      </pivotArea>
    </format>
    <format dxfId="32">
      <pivotArea collapsedLevelsAreSubtotals="1" fieldPosition="0">
        <references count="2">
          <reference field="0" count="1" selected="0">
            <x v="3"/>
          </reference>
          <reference field="1" count="2">
            <x v="0"/>
            <x v="1"/>
          </reference>
        </references>
      </pivotArea>
    </format>
    <format dxfId="31">
      <pivotArea collapsedLevelsAreSubtotals="1" fieldPosition="0">
        <references count="2">
          <reference field="0" count="1" selected="0">
            <x v="3"/>
          </reference>
          <reference field="1" count="2">
            <x v="0"/>
            <x v="1"/>
          </reference>
        </references>
      </pivotArea>
    </format>
    <format dxfId="30">
      <pivotArea collapsedLevelsAreSubtotals="1" fieldPosition="0">
        <references count="2">
          <reference field="0" count="1" selected="0">
            <x v="3"/>
          </reference>
          <reference field="1" count="1">
            <x v="9"/>
          </reference>
        </references>
      </pivotArea>
    </format>
    <format dxfId="29">
      <pivotArea collapsedLevelsAreSubtotals="1" fieldPosition="0">
        <references count="2">
          <reference field="0" count="1" selected="0">
            <x v="3"/>
          </reference>
          <reference field="1" count="1">
            <x v="9"/>
          </reference>
        </references>
      </pivotArea>
    </format>
    <format dxfId="28">
      <pivotArea collapsedLevelsAreSubtotals="1" fieldPosition="0">
        <references count="2">
          <reference field="0" count="1" selected="0">
            <x v="3"/>
          </reference>
          <reference field="1" count="1">
            <x v="11"/>
          </reference>
        </references>
      </pivotArea>
    </format>
    <format dxfId="27">
      <pivotArea collapsedLevelsAreSubtotals="1" fieldPosition="0">
        <references count="2">
          <reference field="0" count="1" selected="0">
            <x v="3"/>
          </reference>
          <reference field="1" count="1">
            <x v="11"/>
          </reference>
        </references>
      </pivotArea>
    </format>
    <format dxfId="26">
      <pivotArea dataOnly="0" labelOnly="1" fieldPosition="0">
        <references count="1">
          <reference field="1" count="1">
            <x v="7"/>
          </reference>
        </references>
      </pivotArea>
    </format>
    <format dxfId="25">
      <pivotArea dataOnly="0" labelOnly="1" fieldPosition="0">
        <references count="1">
          <reference field="1" count="1">
            <x v="7"/>
          </reference>
        </references>
      </pivotArea>
    </format>
  </formats>
  <conditionalFormats count="1"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4" selected="0">
              <x v="0"/>
              <x v="1"/>
              <x v="2"/>
              <x v="3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504FD5-997E-44DA-B3FA-850E174B6CC3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año">
  <location ref="A3:D9" firstHeaderRow="1" firstDataRow="2" firstDataCol="1"/>
  <pivotFields count="6"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8">
        <item x="3"/>
        <item x="2"/>
        <item x="0"/>
        <item h="1" x="4"/>
        <item h="1" x="6"/>
        <item h="1" x="5"/>
        <item x="1"/>
        <item t="default"/>
      </items>
    </pivotField>
    <pivotField dataField="1" showAll="0"/>
  </pivotFields>
  <rowFields count="1">
    <field x="4"/>
  </rowFields>
  <rowItems count="5">
    <i>
      <x/>
    </i>
    <i>
      <x v="1"/>
    </i>
    <i>
      <x v="2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IMPORTE ANUAL POR ASESOR" fld="5" baseField="0" baseItem="0"/>
  </dataFields>
  <formats count="3">
    <format dxfId="2">
      <pivotArea collapsedLevelsAreSubtotals="1" fieldPosition="0">
        <references count="1">
          <reference field="4" count="0"/>
        </references>
      </pivotArea>
    </format>
    <format dxfId="1">
      <pivotArea grandRow="1" outline="0" collapsedLevelsAreSubtotals="1" fieldPosition="0"/>
    </format>
    <format dxfId="0">
      <pivotArea type="all" dataOnly="0" outline="0" fieldPosition="0"/>
    </format>
  </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SESOR" xr10:uid="{04154692-50BC-4D36-AA9F-B4372E99B907}" sourceName="ASESOR">
  <pivotTables>
    <pivotTable tabId="12" name="TablaDinámica2"/>
  </pivotTables>
  <data>
    <tabular pivotCacheId="194546902">
      <items count="4">
        <i x="0" s="1"/>
        <i x="2" s="1"/>
        <i x="1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SESOR1" xr10:uid="{53130514-615A-4D0B-8202-E4CB7FAE0936}" sourceName="ASESOR">
  <pivotTables>
    <pivotTable tabId="12" name="TablaDinámica3"/>
  </pivotTables>
  <data>
    <tabular pivotCacheId="1419745789">
      <items count="4">
        <i x="0" s="1"/>
        <i x="2" s="1"/>
        <i x="1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SESOR" xr10:uid="{CB076F85-F489-425B-8D87-CCE918E3B20A}" cache="SegmentaciónDeDatos_ASESOR" caption="ASESOR" style="SlicerStyleDark4" rowHeight="247650"/>
  <slicer name="ASESOR 1" xr10:uid="{D16590E5-D0E6-4847-AED7-267B88F70917}" cache="SegmentaciónDeDatos_ASESOR1" caption="ASESOR" style="SlicerStyleDark1" rowHeight="24765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microsoft.com/office/2007/relationships/slicer" Target="../slicers/slicer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970C8-388D-4E50-9CC8-C36A95E1C4CC}">
  <sheetPr>
    <tabColor rgb="FFFFFF00"/>
  </sheetPr>
  <dimension ref="A1:L13"/>
  <sheetViews>
    <sheetView zoomScale="89" zoomScaleNormal="89" workbookViewId="0">
      <selection activeCell="E2" sqref="E2"/>
    </sheetView>
  </sheetViews>
  <sheetFormatPr baseColWidth="10" defaultRowHeight="15" x14ac:dyDescent="0.25"/>
  <cols>
    <col min="2" max="2" width="13.140625" customWidth="1"/>
    <col min="3" max="3" width="16" bestFit="1" customWidth="1"/>
    <col min="4" max="4" width="13.28515625" customWidth="1"/>
    <col min="5" max="5" width="17.7109375" bestFit="1" customWidth="1"/>
    <col min="6" max="6" width="11.7109375" customWidth="1"/>
    <col min="7" max="7" width="16" bestFit="1" customWidth="1"/>
    <col min="8" max="8" width="15.28515625" customWidth="1"/>
    <col min="9" max="9" width="16.28515625" customWidth="1"/>
    <col min="10" max="10" width="14.85546875" customWidth="1"/>
    <col min="11" max="11" width="15.28515625" customWidth="1"/>
  </cols>
  <sheetData>
    <row r="1" spans="1:12" ht="45" x14ac:dyDescent="0.25">
      <c r="A1" s="2" t="s">
        <v>7</v>
      </c>
      <c r="B1" s="9" t="s">
        <v>112</v>
      </c>
      <c r="C1" s="9" t="s">
        <v>344</v>
      </c>
      <c r="D1" s="22" t="s">
        <v>8</v>
      </c>
      <c r="E1" s="10" t="s">
        <v>9</v>
      </c>
      <c r="F1" s="10" t="s">
        <v>10</v>
      </c>
      <c r="G1" s="22" t="s">
        <v>345</v>
      </c>
      <c r="H1" s="10" t="s">
        <v>346</v>
      </c>
      <c r="I1" s="10" t="s">
        <v>347</v>
      </c>
      <c r="J1" s="11" t="s">
        <v>353</v>
      </c>
      <c r="K1" s="11" t="s">
        <v>354</v>
      </c>
    </row>
    <row r="2" spans="1:12" x14ac:dyDescent="0.25">
      <c r="A2" s="5" t="s">
        <v>69</v>
      </c>
      <c r="B2" s="5">
        <v>45942.89</v>
      </c>
      <c r="C2" s="15">
        <v>2579666.9900000002</v>
      </c>
      <c r="D2" s="23">
        <f>B2+20%*B2</f>
        <v>55131.468000000001</v>
      </c>
      <c r="E2" s="27">
        <f>GETPIVOTDATA("CANTIDAD (KG)",'COMPARATIVO MENSUAL 2025'!$B$20,"MES","ENERO")</f>
        <v>66503.460000000006</v>
      </c>
      <c r="F2" s="5">
        <f>E2-D2</f>
        <v>11371.992000000006</v>
      </c>
      <c r="G2" s="24">
        <f>C2+20%*C2</f>
        <v>3095600.3880000003</v>
      </c>
      <c r="H2" s="26">
        <f>GETPIVOTDATA("IMPORTE (S/.)",'COMPARATIVO MENSUAL 2025'!$B$3,"MES","ENERO")</f>
        <v>2569941.02</v>
      </c>
      <c r="I2" s="15">
        <f>H2-G2</f>
        <v>-525659.36800000025</v>
      </c>
      <c r="J2" s="25">
        <f>E2/D2</f>
        <v>1.2062704370578343</v>
      </c>
      <c r="K2" s="25">
        <f>H2/G2</f>
        <v>0.83019146462259708</v>
      </c>
    </row>
    <row r="3" spans="1:12" x14ac:dyDescent="0.25">
      <c r="A3" s="5" t="s">
        <v>70</v>
      </c>
      <c r="B3" s="5">
        <v>73172.040000000008</v>
      </c>
      <c r="C3" s="15">
        <v>3443322.83</v>
      </c>
      <c r="D3" s="23">
        <f t="shared" ref="D3:D13" si="0">B3+20%*B3</f>
        <v>87806.448000000004</v>
      </c>
      <c r="E3" s="27">
        <f>GETPIVOTDATA("CANTIDAD (KG)",'COMPARATIVO MENSUAL 2025'!$B$20,"MES","FEBRERO")</f>
        <v>75073.55</v>
      </c>
      <c r="F3" s="5">
        <f t="shared" ref="F3:F6" si="1">E3-D3</f>
        <v>-12732.898000000001</v>
      </c>
      <c r="G3" s="24">
        <f t="shared" ref="G3:G13" si="2">C3+20%*C3</f>
        <v>4131987.3960000002</v>
      </c>
      <c r="H3" s="26">
        <f>GETPIVOTDATA("IMPORTE (S/.)",'COMPARATIVO MENSUAL 2025'!$B$3,"MES","FEBRERO")</f>
        <v>2827362.13</v>
      </c>
      <c r="I3" s="15">
        <f t="shared" ref="I3:I6" si="3">H3-G3</f>
        <v>-1304625.2660000003</v>
      </c>
      <c r="J3" s="25">
        <f t="shared" ref="J3:J6" si="4">E3/D3</f>
        <v>0.85498903224054801</v>
      </c>
      <c r="K3" s="25">
        <f t="shared" ref="K3:K6" si="5">H3/G3</f>
        <v>0.68426204124849166</v>
      </c>
    </row>
    <row r="4" spans="1:12" x14ac:dyDescent="0.25">
      <c r="A4" s="5" t="s">
        <v>71</v>
      </c>
      <c r="B4" s="5">
        <v>77251.75</v>
      </c>
      <c r="C4" s="15">
        <v>3256508.88</v>
      </c>
      <c r="D4" s="23">
        <f t="shared" si="0"/>
        <v>92702.1</v>
      </c>
      <c r="E4" s="27" t="e">
        <f>GETPIVOTDATA("CANTIDAD (KG)",'COMPARATIVO MENSUAL 2025'!$B$20,"MES","MARZO")</f>
        <v>#REF!</v>
      </c>
      <c r="F4" s="5" t="e">
        <f t="shared" si="1"/>
        <v>#REF!</v>
      </c>
      <c r="G4" s="24">
        <f t="shared" si="2"/>
        <v>3907810.656</v>
      </c>
      <c r="H4" s="26" t="e">
        <f>GETPIVOTDATA("IMPORTE (S/.)",'COMPARATIVO MENSUAL 2025'!$B$3,"MES","MARZO")</f>
        <v>#REF!</v>
      </c>
      <c r="I4" s="15" t="e">
        <f t="shared" si="3"/>
        <v>#REF!</v>
      </c>
      <c r="J4" s="25" t="e">
        <f t="shared" si="4"/>
        <v>#REF!</v>
      </c>
      <c r="K4" s="25" t="e">
        <f t="shared" si="5"/>
        <v>#REF!</v>
      </c>
      <c r="L4" s="7"/>
    </row>
    <row r="5" spans="1:12" x14ac:dyDescent="0.25">
      <c r="A5" s="5" t="s">
        <v>72</v>
      </c>
      <c r="B5" s="5">
        <v>87655.51</v>
      </c>
      <c r="C5" s="15">
        <v>4058295.92</v>
      </c>
      <c r="D5" s="23">
        <f t="shared" si="0"/>
        <v>105186.61199999999</v>
      </c>
      <c r="E5" s="5" t="e">
        <f>GETPIVOTDATA("CANTIDAD (KG)",'COMPARATIVO MENSUAL 2025'!$B$20,"MES","ABRIL")</f>
        <v>#REF!</v>
      </c>
      <c r="F5" s="5" t="e">
        <f t="shared" si="1"/>
        <v>#REF!</v>
      </c>
      <c r="G5" s="24">
        <f t="shared" si="2"/>
        <v>4869955.1040000003</v>
      </c>
      <c r="H5" s="15" t="e">
        <f>GETPIVOTDATA("IMPORTE (S/.)",'COMPARATIVO MENSUAL 2025'!$B$3,"MES","ABRIL")</f>
        <v>#REF!</v>
      </c>
      <c r="I5" s="15" t="e">
        <f t="shared" si="3"/>
        <v>#REF!</v>
      </c>
      <c r="J5" s="25" t="e">
        <f t="shared" si="4"/>
        <v>#REF!</v>
      </c>
      <c r="K5" s="25" t="e">
        <f t="shared" si="5"/>
        <v>#REF!</v>
      </c>
    </row>
    <row r="6" spans="1:12" x14ac:dyDescent="0.25">
      <c r="A6" s="5" t="s">
        <v>73</v>
      </c>
      <c r="B6" s="5">
        <v>96801.06</v>
      </c>
      <c r="C6" s="15">
        <v>4271469.55</v>
      </c>
      <c r="D6" s="23">
        <f t="shared" si="0"/>
        <v>116161.272</v>
      </c>
      <c r="E6" s="5" t="e">
        <f>GETPIVOTDATA("CANTIDAD (KG)",'COMPARATIVO MENSUAL 2025'!$B$20,"MES","MAYO")</f>
        <v>#REF!</v>
      </c>
      <c r="F6" s="5" t="e">
        <f t="shared" si="1"/>
        <v>#REF!</v>
      </c>
      <c r="G6" s="24">
        <f t="shared" si="2"/>
        <v>5125763.46</v>
      </c>
      <c r="H6" s="15" t="e">
        <f>GETPIVOTDATA("IMPORTE (S/.)",'COMPARATIVO MENSUAL 2025'!$B$3,"MES","MAYO")</f>
        <v>#REF!</v>
      </c>
      <c r="I6" s="15" t="e">
        <f t="shared" si="3"/>
        <v>#REF!</v>
      </c>
      <c r="J6" s="25" t="e">
        <f t="shared" si="4"/>
        <v>#REF!</v>
      </c>
      <c r="K6" s="25" t="e">
        <f t="shared" si="5"/>
        <v>#REF!</v>
      </c>
    </row>
    <row r="7" spans="1:12" x14ac:dyDescent="0.25">
      <c r="A7" s="5" t="s">
        <v>74</v>
      </c>
      <c r="B7" s="5">
        <v>84485.290000000008</v>
      </c>
      <c r="C7" s="15">
        <v>3680527.31</v>
      </c>
      <c r="D7" s="23">
        <f t="shared" si="0"/>
        <v>101382.34800000001</v>
      </c>
      <c r="E7" s="5" t="e">
        <f>GETPIVOTDATA("CANTIDAD (KG)",'COMPARATIVO MENSUAL 2025'!$B$20,"MES","JUNIO")</f>
        <v>#REF!</v>
      </c>
      <c r="F7" s="5"/>
      <c r="G7" s="24">
        <f t="shared" si="2"/>
        <v>4416632.7719999999</v>
      </c>
      <c r="H7" s="15" t="e">
        <f>GETPIVOTDATA("IMPORTE (S/.)",'COMPARATIVO MENSUAL 2025'!$B$3,"MES","JUNIO")</f>
        <v>#REF!</v>
      </c>
      <c r="I7" s="15"/>
      <c r="J7" s="5"/>
      <c r="K7" s="5"/>
    </row>
    <row r="8" spans="1:12" x14ac:dyDescent="0.25">
      <c r="A8" s="5" t="s">
        <v>75</v>
      </c>
      <c r="B8" s="5">
        <v>93512.750000000015</v>
      </c>
      <c r="C8" s="15">
        <v>4138506.0700000003</v>
      </c>
      <c r="D8" s="23">
        <f t="shared" si="0"/>
        <v>112215.30000000002</v>
      </c>
      <c r="E8" s="5" t="e">
        <f>GETPIVOTDATA("CANTIDAD (KG)",'COMPARATIVO MENSUAL 2025'!$B$20,"MES","JULIO")</f>
        <v>#REF!</v>
      </c>
      <c r="F8" s="5"/>
      <c r="G8" s="24">
        <f t="shared" si="2"/>
        <v>4966207.284</v>
      </c>
      <c r="H8" s="15" t="e">
        <f>GETPIVOTDATA("IMPORTE (S/.)",'COMPARATIVO MENSUAL 2025'!$B$3,"MES","JULIO")</f>
        <v>#REF!</v>
      </c>
      <c r="I8" s="15"/>
      <c r="J8" s="5"/>
      <c r="K8" s="5"/>
    </row>
    <row r="9" spans="1:12" x14ac:dyDescent="0.25">
      <c r="A9" s="5" t="s">
        <v>76</v>
      </c>
      <c r="B9" s="5">
        <v>88751.43</v>
      </c>
      <c r="C9" s="15">
        <v>4097126.05</v>
      </c>
      <c r="D9" s="23">
        <f t="shared" si="0"/>
        <v>106501.71599999999</v>
      </c>
      <c r="E9" s="5" t="e">
        <f>GETPIVOTDATA("CANTIDAD (KG)",'COMPARATIVO MENSUAL 2025'!$B$20,"MES","AGOSTO")</f>
        <v>#REF!</v>
      </c>
      <c r="F9" s="5"/>
      <c r="G9" s="24">
        <f t="shared" si="2"/>
        <v>4916551.26</v>
      </c>
      <c r="H9" s="15" t="e">
        <f>GETPIVOTDATA("IMPORTE (S/.)",'COMPARATIVO MENSUAL 2025'!$B$3,"MES","AGOSTO")</f>
        <v>#REF!</v>
      </c>
      <c r="I9" s="15"/>
      <c r="J9" s="5"/>
      <c r="K9" s="5"/>
    </row>
    <row r="10" spans="1:12" x14ac:dyDescent="0.25">
      <c r="A10" s="5" t="s">
        <v>77</v>
      </c>
      <c r="B10" s="5">
        <v>76376.160000000003</v>
      </c>
      <c r="C10" s="15">
        <v>3604570.85</v>
      </c>
      <c r="D10" s="23">
        <f t="shared" si="0"/>
        <v>91651.392000000007</v>
      </c>
      <c r="E10" s="5"/>
      <c r="F10" s="5"/>
      <c r="G10" s="24">
        <f t="shared" si="2"/>
        <v>4325485.0200000005</v>
      </c>
      <c r="H10" s="15"/>
      <c r="I10" s="15"/>
      <c r="J10" s="5"/>
      <c r="K10" s="5"/>
    </row>
    <row r="11" spans="1:12" x14ac:dyDescent="0.25">
      <c r="A11" s="5" t="s">
        <v>78</v>
      </c>
      <c r="B11" s="5">
        <v>85546.21</v>
      </c>
      <c r="C11" s="15">
        <v>4131005.83</v>
      </c>
      <c r="D11" s="23">
        <f t="shared" si="0"/>
        <v>102655.452</v>
      </c>
      <c r="E11" s="5"/>
      <c r="F11" s="5"/>
      <c r="G11" s="24">
        <f t="shared" si="2"/>
        <v>4957206.9960000003</v>
      </c>
      <c r="H11" s="15"/>
      <c r="I11" s="15"/>
      <c r="J11" s="5"/>
      <c r="K11" s="5"/>
    </row>
    <row r="12" spans="1:12" x14ac:dyDescent="0.25">
      <c r="A12" s="5" t="s">
        <v>79</v>
      </c>
      <c r="B12" s="5">
        <v>81675.31</v>
      </c>
      <c r="C12" s="15">
        <v>3949812.37</v>
      </c>
      <c r="D12" s="23">
        <f t="shared" si="0"/>
        <v>98010.372000000003</v>
      </c>
      <c r="E12" s="5"/>
      <c r="F12" s="5"/>
      <c r="G12" s="24">
        <f t="shared" si="2"/>
        <v>4739774.8440000005</v>
      </c>
      <c r="H12" s="15"/>
      <c r="I12" s="15"/>
      <c r="J12" s="5"/>
      <c r="K12" s="5"/>
    </row>
    <row r="13" spans="1:12" x14ac:dyDescent="0.25">
      <c r="A13" s="5" t="s">
        <v>80</v>
      </c>
      <c r="B13" s="5">
        <v>64346.350000000006</v>
      </c>
      <c r="C13" s="15">
        <v>2988692.8200000003</v>
      </c>
      <c r="D13" s="23">
        <f t="shared" si="0"/>
        <v>77215.62000000001</v>
      </c>
      <c r="E13" s="5"/>
      <c r="F13" s="5"/>
      <c r="G13" s="24">
        <f t="shared" si="2"/>
        <v>3586431.3840000005</v>
      </c>
      <c r="H13" s="15"/>
      <c r="I13" s="15"/>
      <c r="J13" s="5"/>
      <c r="K13" s="5"/>
    </row>
  </sheetData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ACFF9-E156-45EF-832B-25A3B8C6D546}">
  <sheetPr>
    <tabColor theme="4" tint="0.39997558519241921"/>
  </sheetPr>
  <dimension ref="B2:G35"/>
  <sheetViews>
    <sheetView showGridLines="0" zoomScale="85" zoomScaleNormal="85" workbookViewId="0">
      <selection activeCell="C23" sqref="C23"/>
    </sheetView>
  </sheetViews>
  <sheetFormatPr baseColWidth="10" defaultRowHeight="15" x14ac:dyDescent="0.25"/>
  <cols>
    <col min="1" max="1" width="5.42578125" customWidth="1"/>
    <col min="2" max="2" width="28.85546875" bestFit="1" customWidth="1"/>
    <col min="3" max="3" width="24.85546875" bestFit="1" customWidth="1"/>
    <col min="4" max="4" width="19" bestFit="1" customWidth="1"/>
    <col min="5" max="5" width="18" bestFit="1" customWidth="1"/>
    <col min="6" max="6" width="16" bestFit="1" customWidth="1"/>
    <col min="7" max="7" width="18" bestFit="1" customWidth="1"/>
    <col min="8" max="8" width="13.5703125" bestFit="1" customWidth="1"/>
  </cols>
  <sheetData>
    <row r="2" spans="2:7" ht="18.75" x14ac:dyDescent="0.25">
      <c r="B2" s="31" t="s">
        <v>420</v>
      </c>
    </row>
    <row r="3" spans="2:7" ht="15.75" x14ac:dyDescent="0.25">
      <c r="B3" s="41" t="s">
        <v>350</v>
      </c>
      <c r="C3" s="41" t="s">
        <v>81</v>
      </c>
      <c r="D3" s="42"/>
      <c r="E3" s="42"/>
      <c r="F3" s="42"/>
      <c r="G3" s="42"/>
    </row>
    <row r="4" spans="2:7" ht="15.75" x14ac:dyDescent="0.25">
      <c r="B4" s="41" t="s">
        <v>7</v>
      </c>
      <c r="C4" s="43" t="s">
        <v>113</v>
      </c>
      <c r="D4" s="43" t="s">
        <v>405</v>
      </c>
      <c r="E4" s="43" t="s">
        <v>416</v>
      </c>
      <c r="F4" s="43" t="s">
        <v>419</v>
      </c>
      <c r="G4" s="43" t="s">
        <v>111</v>
      </c>
    </row>
    <row r="5" spans="2:7" ht="15.75" x14ac:dyDescent="0.25">
      <c r="B5" s="38" t="s">
        <v>114</v>
      </c>
      <c r="C5" s="34">
        <v>622444.19999999995</v>
      </c>
      <c r="D5" s="34">
        <v>1217789.81</v>
      </c>
      <c r="E5" s="34">
        <v>673049.92</v>
      </c>
      <c r="F5" s="34">
        <v>56657.09</v>
      </c>
      <c r="G5" s="34">
        <v>2569941.02</v>
      </c>
    </row>
    <row r="6" spans="2:7" ht="15.75" x14ac:dyDescent="0.25">
      <c r="B6" s="38" t="s">
        <v>115</v>
      </c>
      <c r="C6" s="34">
        <v>770345.13</v>
      </c>
      <c r="D6" s="34">
        <v>1066540.7</v>
      </c>
      <c r="E6" s="34">
        <v>868765.75</v>
      </c>
      <c r="F6" s="34">
        <v>121710.55</v>
      </c>
      <c r="G6" s="34">
        <v>2827362.13</v>
      </c>
    </row>
    <row r="7" spans="2:7" ht="15.75" x14ac:dyDescent="0.25">
      <c r="B7" s="39" t="s">
        <v>111</v>
      </c>
      <c r="C7" s="37">
        <v>1392789.33</v>
      </c>
      <c r="D7" s="37">
        <v>2284330.5099999998</v>
      </c>
      <c r="E7" s="37">
        <v>1541815.67</v>
      </c>
      <c r="F7" s="37">
        <v>178367.64</v>
      </c>
      <c r="G7" s="37">
        <v>5397303.1500000004</v>
      </c>
    </row>
    <row r="8" spans="2:7" ht="15.75" x14ac:dyDescent="0.25"/>
    <row r="9" spans="2:7" ht="15.75" x14ac:dyDescent="0.25"/>
    <row r="10" spans="2:7" ht="15.75" x14ac:dyDescent="0.25"/>
    <row r="11" spans="2:7" ht="15.75" x14ac:dyDescent="0.25"/>
    <row r="12" spans="2:7" ht="15.75" x14ac:dyDescent="0.25"/>
    <row r="13" spans="2:7" ht="15.75" x14ac:dyDescent="0.25"/>
    <row r="14" spans="2:7" ht="15.75" x14ac:dyDescent="0.25"/>
    <row r="15" spans="2:7" ht="15.75" x14ac:dyDescent="0.25"/>
    <row r="16" spans="2:7" ht="15.75" x14ac:dyDescent="0.25"/>
    <row r="17" spans="2:7" ht="18.75" hidden="1" x14ac:dyDescent="0.3">
      <c r="B17" s="44" t="s">
        <v>417</v>
      </c>
      <c r="C17" s="47">
        <v>0.74</v>
      </c>
      <c r="D17" s="47">
        <v>0.18</v>
      </c>
      <c r="E17" s="47">
        <v>0.28000000000000003</v>
      </c>
    </row>
    <row r="18" spans="2:7" ht="15.75" x14ac:dyDescent="0.25">
      <c r="B18" s="40"/>
      <c r="F18" s="14"/>
    </row>
    <row r="19" spans="2:7" ht="15.75" x14ac:dyDescent="0.25">
      <c r="B19" s="40"/>
      <c r="E19" s="14"/>
    </row>
    <row r="20" spans="2:7" ht="15.75" x14ac:dyDescent="0.25">
      <c r="B20" s="41" t="s">
        <v>349</v>
      </c>
      <c r="C20" s="16" t="s">
        <v>81</v>
      </c>
      <c r="D20" s="1"/>
      <c r="E20" s="1"/>
      <c r="F20" s="1"/>
      <c r="G20" s="1"/>
    </row>
    <row r="21" spans="2:7" ht="15.75" x14ac:dyDescent="0.25">
      <c r="B21" s="41" t="s">
        <v>7</v>
      </c>
      <c r="C21" s="43" t="s">
        <v>113</v>
      </c>
      <c r="D21" s="43" t="s">
        <v>405</v>
      </c>
      <c r="E21" s="43" t="s">
        <v>416</v>
      </c>
      <c r="F21" s="43" t="s">
        <v>419</v>
      </c>
      <c r="G21" s="43" t="s">
        <v>111</v>
      </c>
    </row>
    <row r="22" spans="2:7" ht="15.75" x14ac:dyDescent="0.25">
      <c r="B22" s="39" t="s">
        <v>114</v>
      </c>
      <c r="C22" s="35">
        <v>20041.52</v>
      </c>
      <c r="D22" s="35">
        <v>25654.98</v>
      </c>
      <c r="E22" s="35">
        <v>19969</v>
      </c>
      <c r="F22" s="36">
        <v>837.96</v>
      </c>
      <c r="G22" s="36">
        <v>66503.460000000006</v>
      </c>
    </row>
    <row r="23" spans="2:7" ht="15.75" x14ac:dyDescent="0.25">
      <c r="B23" s="39" t="s">
        <v>115</v>
      </c>
      <c r="C23" s="36">
        <v>24654.9</v>
      </c>
      <c r="D23" s="35">
        <v>24924.75</v>
      </c>
      <c r="E23" s="35">
        <v>23026.92</v>
      </c>
      <c r="F23" s="36">
        <v>2466.98</v>
      </c>
      <c r="G23" s="36">
        <v>75073.55</v>
      </c>
    </row>
    <row r="24" spans="2:7" ht="15.75" x14ac:dyDescent="0.25">
      <c r="B24" s="39" t="s">
        <v>111</v>
      </c>
      <c r="C24" s="35">
        <v>44696.42</v>
      </c>
      <c r="D24" s="35">
        <v>50579.729999999996</v>
      </c>
      <c r="E24" s="35">
        <v>42995.92</v>
      </c>
      <c r="F24" s="35">
        <v>3304.94</v>
      </c>
      <c r="G24" s="35">
        <v>141577.01</v>
      </c>
    </row>
    <row r="25" spans="2:7" ht="15.75" x14ac:dyDescent="0.25"/>
    <row r="26" spans="2:7" ht="15.75" x14ac:dyDescent="0.25"/>
    <row r="27" spans="2:7" ht="15.75" x14ac:dyDescent="0.25"/>
    <row r="28" spans="2:7" ht="15.75" x14ac:dyDescent="0.25"/>
    <row r="29" spans="2:7" ht="15.75" x14ac:dyDescent="0.25"/>
    <row r="30" spans="2:7" ht="15.75" x14ac:dyDescent="0.25"/>
    <row r="31" spans="2:7" ht="15.75" x14ac:dyDescent="0.25"/>
    <row r="32" spans="2:7" ht="15.75" x14ac:dyDescent="0.25"/>
    <row r="33" spans="2:5" ht="15.75" x14ac:dyDescent="0.25"/>
    <row r="34" spans="2:5" ht="18.75" hidden="1" x14ac:dyDescent="0.3">
      <c r="B34" s="44" t="s">
        <v>418</v>
      </c>
      <c r="C34" s="47">
        <v>0.51</v>
      </c>
      <c r="D34" s="47">
        <v>0.44</v>
      </c>
      <c r="E34" s="47">
        <v>0.05</v>
      </c>
    </row>
    <row r="35" spans="2:5" x14ac:dyDescent="0.25">
      <c r="E35" s="30"/>
    </row>
  </sheetData>
  <conditionalFormatting pivot="1" sqref="C22:C23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{58DD39B8-55F1-4A99-8E42-51223B3EAD7A}</x14:id>
        </ext>
      </extLst>
    </cfRule>
  </conditionalFormatting>
  <conditionalFormatting pivot="1" sqref="D22:D23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{7F3BC206-5BA2-464C-BAE3-09621C172B85}</x14:id>
        </ext>
      </extLst>
    </cfRule>
  </conditionalFormatting>
  <conditionalFormatting pivot="1" sqref="E22:E23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{99D5A30C-2620-4699-B8ED-64C88F3FCA27}</x14:id>
        </ext>
      </extLst>
    </cfRule>
  </conditionalFormatting>
  <conditionalFormatting pivot="1" sqref="C5:E6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{2BAF0EBB-523B-4018-BABA-E7463CE4ACC5}</x14:id>
        </ext>
      </extLst>
    </cfRule>
  </conditionalFormatting>
  <conditionalFormatting pivot="1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{9E75770F-3E66-45BE-AD48-36FC301685F3}</x14:id>
        </ext>
      </extLst>
    </cfRule>
  </conditionalFormatting>
  <conditionalFormatting pivot="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{E36BFC0B-D0A1-484D-969C-47F5DC164777}</x14:id>
        </ext>
      </extLst>
    </cfRule>
  </conditionalFormatting>
  <conditionalFormatting pivot="1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{51F6D0AC-5AE6-4D6B-8C4C-8D132A203CF7}</x14:id>
        </ext>
      </extLst>
    </cfRule>
  </conditionalFormatting>
  <conditionalFormatting pivot="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{C6259F19-7340-40C6-96A7-80F02CC375A6}</x14:id>
        </ext>
      </extLst>
    </cfRule>
  </conditionalFormatting>
  <conditionalFormatting pivot="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{9ED630CE-2CAE-4273-ADAC-2E572D040189}</x14:id>
        </ext>
      </extLst>
    </cfRule>
  </conditionalFormatting>
  <pageMargins left="0.7" right="0.7" top="0.75" bottom="0.75" header="0.3" footer="0.3"/>
  <pageSetup paperSize="9" orientation="landscape" r:id="rId3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58DD39B8-55F1-4A99-8E42-51223B3EAD7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C22:C23</xm:sqref>
        </x14:conditionalFormatting>
        <x14:conditionalFormatting xmlns:xm="http://schemas.microsoft.com/office/excel/2006/main" pivot="1">
          <x14:cfRule type="dataBar" id="{7F3BC206-5BA2-464C-BAE3-09621C172B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D22:D23</xm:sqref>
        </x14:conditionalFormatting>
        <x14:conditionalFormatting xmlns:xm="http://schemas.microsoft.com/office/excel/2006/main" pivot="1">
          <x14:cfRule type="dataBar" id="{99D5A30C-2620-4699-B8ED-64C88F3FCA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E22:E23</xm:sqref>
        </x14:conditionalFormatting>
        <x14:conditionalFormatting xmlns:xm="http://schemas.microsoft.com/office/excel/2006/main" pivot="1">
          <x14:cfRule type="dataBar" id="{2BAF0EBB-523B-4018-BABA-E7463CE4ACC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C5:E6</xm:sqref>
        </x14:conditionalFormatting>
        <x14:conditionalFormatting xmlns:xm="http://schemas.microsoft.com/office/excel/2006/main" pivot="1">
          <x14:cfRule type="dataBar" id="{9E75770F-3E66-45BE-AD48-36FC301685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</x14:conditionalFormatting>
        <x14:conditionalFormatting xmlns:xm="http://schemas.microsoft.com/office/excel/2006/main" pivot="1">
          <x14:cfRule type="dataBar" id="{E36BFC0B-D0A1-484D-969C-47F5DC16477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</x14:conditionalFormatting>
        <x14:conditionalFormatting xmlns:xm="http://schemas.microsoft.com/office/excel/2006/main" pivot="1">
          <x14:cfRule type="dataBar" id="{51F6D0AC-5AE6-4D6B-8C4C-8D132A203C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</x14:conditionalFormatting>
        <x14:conditionalFormatting xmlns:xm="http://schemas.microsoft.com/office/excel/2006/main" pivot="1">
          <x14:cfRule type="dataBar" id="{C6259F19-7340-40C6-96A7-80F02CC375A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</x14:conditionalFormatting>
        <x14:conditionalFormatting xmlns:xm="http://schemas.microsoft.com/office/excel/2006/main" pivot="1">
          <x14:cfRule type="dataBar" id="{9ED630CE-2CAE-4273-ADAC-2E572D04018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F0CA8-D3AC-4DA0-B0F5-AE68891F6909}">
  <dimension ref="A1:F5"/>
  <sheetViews>
    <sheetView workbookViewId="0">
      <selection sqref="A1:F2"/>
    </sheetView>
  </sheetViews>
  <sheetFormatPr baseColWidth="10" defaultRowHeight="15" x14ac:dyDescent="0.25"/>
  <cols>
    <col min="1" max="5" width="17.42578125" customWidth="1"/>
  </cols>
  <sheetData>
    <row r="1" spans="1:6" ht="15.75" x14ac:dyDescent="0.25">
      <c r="A1" s="45">
        <v>435607.05</v>
      </c>
      <c r="B1" s="45">
        <v>1685945.1</v>
      </c>
      <c r="C1" s="45">
        <v>1003846.51</v>
      </c>
      <c r="D1" s="45">
        <v>745711.02</v>
      </c>
      <c r="E1" s="45"/>
      <c r="F1" s="45">
        <v>3871109.68</v>
      </c>
    </row>
    <row r="2" spans="1:6" ht="15.75" x14ac:dyDescent="0.25">
      <c r="A2" s="46">
        <v>770692.53</v>
      </c>
      <c r="B2" s="46"/>
      <c r="C2" s="46">
        <v>1148786.18</v>
      </c>
      <c r="D2" s="46">
        <v>1056035.8899999999</v>
      </c>
      <c r="E2" s="46">
        <v>616620.73</v>
      </c>
      <c r="F2" s="46">
        <v>3592135.3299999996</v>
      </c>
    </row>
    <row r="4" spans="1:6" x14ac:dyDescent="0.25">
      <c r="A4" s="33">
        <f>+(A2-A1)/A1</f>
        <v>0.76923796343516493</v>
      </c>
      <c r="B4" s="33">
        <f t="shared" ref="B4:E4" si="0">+(B2-B1)/B1</f>
        <v>-1</v>
      </c>
      <c r="C4" s="33">
        <f t="shared" si="0"/>
        <v>0.14438429436787095</v>
      </c>
      <c r="D4" s="33">
        <f t="shared" si="0"/>
        <v>0.41614628411955057</v>
      </c>
      <c r="E4" s="33" t="e">
        <f t="shared" si="0"/>
        <v>#DIV/0!</v>
      </c>
    </row>
    <row r="5" spans="1:6" x14ac:dyDescent="0.25">
      <c r="A5" s="30"/>
      <c r="B5" s="30"/>
      <c r="C5" s="30"/>
      <c r="D5" s="30"/>
      <c r="E5" s="30"/>
    </row>
  </sheetData>
  <conditionalFormatting sqref="A1:D1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{FFD74FE7-6609-4BD7-9B1D-0E70E390F777}</x14:id>
        </ext>
      </extLst>
    </cfRule>
  </conditionalFormatting>
  <conditionalFormatting sqref="A2:D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{87BBDB44-9D8C-4468-AA94-93CE00E39BC4}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D74FE7-6609-4BD7-9B1D-0E70E390F7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A1:D1</xm:sqref>
        </x14:conditionalFormatting>
        <x14:conditionalFormatting xmlns:xm="http://schemas.microsoft.com/office/excel/2006/main">
          <x14:cfRule type="dataBar" id="{87BBDB44-9D8C-4468-AA94-93CE00E39B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A2:D2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F99E5-6F89-452F-B1F8-80F1B578C01F}">
  <dimension ref="A1:P19"/>
  <sheetViews>
    <sheetView showGridLines="0" tabSelected="1" topLeftCell="A5" zoomScale="70" zoomScaleNormal="70" workbookViewId="0">
      <selection activeCell="Q16" sqref="Q16"/>
    </sheetView>
  </sheetViews>
  <sheetFormatPr baseColWidth="10" defaultRowHeight="15" x14ac:dyDescent="0.25"/>
  <cols>
    <col min="1" max="1" width="24" bestFit="1" customWidth="1"/>
    <col min="2" max="2" width="18.28515625" style="8" customWidth="1"/>
    <col min="3" max="3" width="17.140625" style="8" bestFit="1" customWidth="1"/>
    <col min="4" max="4" width="7.42578125" style="8" hidden="1" customWidth="1"/>
    <col min="5" max="5" width="6.140625" style="8" hidden="1" customWidth="1"/>
    <col min="6" max="6" width="6.28515625" style="8" hidden="1" customWidth="1"/>
    <col min="7" max="7" width="6.42578125" style="8" hidden="1" customWidth="1"/>
    <col min="8" max="8" width="6" style="8" hidden="1" customWidth="1"/>
    <col min="9" max="9" width="8.5703125" style="8" hidden="1" customWidth="1"/>
    <col min="10" max="10" width="11.140625" style="8" hidden="1" customWidth="1"/>
    <col min="11" max="11" width="9.7109375" style="8" hidden="1" customWidth="1"/>
    <col min="12" max="12" width="11.85546875" style="8" hidden="1" customWidth="1"/>
    <col min="13" max="13" width="11.28515625" style="8" hidden="1" customWidth="1"/>
    <col min="14" max="14" width="1.140625" style="8" hidden="1" customWidth="1"/>
    <col min="15" max="15" width="23.42578125" bestFit="1" customWidth="1"/>
    <col min="16" max="16" width="21.85546875" bestFit="1" customWidth="1"/>
    <col min="17" max="17" width="23.42578125" bestFit="1" customWidth="1"/>
    <col min="18" max="18" width="21.85546875" bestFit="1" customWidth="1"/>
    <col min="19" max="19" width="23.42578125" bestFit="1" customWidth="1"/>
    <col min="20" max="20" width="21.85546875" bestFit="1" customWidth="1"/>
    <col min="21" max="21" width="23.42578125" bestFit="1" customWidth="1"/>
    <col min="22" max="22" width="21.85546875" bestFit="1" customWidth="1"/>
    <col min="23" max="23" width="23.42578125" bestFit="1" customWidth="1"/>
    <col min="24" max="24" width="21.85546875" bestFit="1" customWidth="1"/>
    <col min="25" max="25" width="23.42578125" bestFit="1" customWidth="1"/>
    <col min="26" max="26" width="26.85546875" bestFit="1" customWidth="1"/>
    <col min="27" max="27" width="28.42578125" bestFit="1" customWidth="1"/>
  </cols>
  <sheetData>
    <row r="1" spans="1:16" ht="31.5" x14ac:dyDescent="0.5">
      <c r="A1" s="56" t="s">
        <v>424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6" ht="15.75" x14ac:dyDescent="0.25">
      <c r="P2" s="42"/>
    </row>
    <row r="3" spans="1:16" s="40" customFormat="1" ht="15.75" x14ac:dyDescent="0.25">
      <c r="A3" s="50" t="s">
        <v>421</v>
      </c>
      <c r="B3" s="51" t="s">
        <v>423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1:16" s="40" customFormat="1" ht="15.75" x14ac:dyDescent="0.25">
      <c r="A4" s="50" t="s">
        <v>81</v>
      </c>
      <c r="B4" s="39" t="s">
        <v>114</v>
      </c>
      <c r="C4" s="39" t="s">
        <v>115</v>
      </c>
      <c r="D4" s="39" t="s">
        <v>116</v>
      </c>
      <c r="E4" s="39" t="s">
        <v>117</v>
      </c>
      <c r="F4" s="39" t="s">
        <v>118</v>
      </c>
      <c r="G4" s="39" t="s">
        <v>119</v>
      </c>
      <c r="H4" s="39" t="s">
        <v>120</v>
      </c>
      <c r="I4" s="39" t="s">
        <v>121</v>
      </c>
      <c r="J4" s="39" t="s">
        <v>122</v>
      </c>
      <c r="K4" s="39" t="s">
        <v>123</v>
      </c>
      <c r="L4" s="39" t="s">
        <v>124</v>
      </c>
      <c r="M4" s="39" t="s">
        <v>125</v>
      </c>
      <c r="N4" s="39" t="s">
        <v>111</v>
      </c>
    </row>
    <row r="5" spans="1:16" ht="15.75" x14ac:dyDescent="0.25">
      <c r="A5" s="49" t="s">
        <v>405</v>
      </c>
      <c r="B5" s="61">
        <v>1217789.81</v>
      </c>
      <c r="C5" s="61">
        <v>1066540.7</v>
      </c>
      <c r="D5" s="52"/>
      <c r="E5" s="52"/>
      <c r="F5" s="52"/>
      <c r="G5" s="52"/>
      <c r="H5" s="52"/>
      <c r="I5" s="52"/>
      <c r="J5" s="52"/>
      <c r="K5" s="52"/>
      <c r="L5" s="53"/>
      <c r="M5" s="53"/>
      <c r="N5" s="53">
        <v>2284330.5099999998</v>
      </c>
    </row>
    <row r="6" spans="1:16" ht="15.75" x14ac:dyDescent="0.25">
      <c r="A6" s="49" t="s">
        <v>416</v>
      </c>
      <c r="B6" s="61">
        <v>673049.92</v>
      </c>
      <c r="C6" s="61">
        <v>868765.75</v>
      </c>
      <c r="D6" s="52"/>
      <c r="E6" s="52"/>
      <c r="F6" s="52"/>
      <c r="G6" s="52"/>
      <c r="H6" s="52"/>
      <c r="I6" s="52"/>
      <c r="J6" s="52"/>
      <c r="K6" s="52"/>
      <c r="L6" s="53"/>
      <c r="M6" s="53"/>
      <c r="N6" s="53">
        <v>1541815.67</v>
      </c>
    </row>
    <row r="7" spans="1:16" ht="15.75" x14ac:dyDescent="0.25">
      <c r="A7" s="49" t="s">
        <v>113</v>
      </c>
      <c r="B7" s="61">
        <v>622444.19999999995</v>
      </c>
      <c r="C7" s="61">
        <v>770345.13</v>
      </c>
      <c r="D7" s="52"/>
      <c r="E7" s="52"/>
      <c r="F7" s="52"/>
      <c r="G7" s="52"/>
      <c r="H7" s="52"/>
      <c r="I7" s="52"/>
      <c r="J7" s="52"/>
      <c r="K7" s="52"/>
      <c r="L7" s="53"/>
      <c r="M7" s="53"/>
      <c r="N7" s="53">
        <v>1392789.33</v>
      </c>
    </row>
    <row r="8" spans="1:16" ht="15.75" x14ac:dyDescent="0.25">
      <c r="A8" s="49" t="s">
        <v>419</v>
      </c>
      <c r="B8" s="61">
        <v>56657.09</v>
      </c>
      <c r="C8" s="61">
        <v>121710.55</v>
      </c>
      <c r="D8" s="52"/>
      <c r="E8" s="52"/>
      <c r="F8" s="52"/>
      <c r="G8" s="52"/>
      <c r="H8" s="52"/>
      <c r="I8" s="52"/>
      <c r="J8" s="52"/>
      <c r="K8" s="52"/>
      <c r="L8" s="53"/>
      <c r="M8" s="53"/>
      <c r="N8" s="53">
        <v>178367.64</v>
      </c>
    </row>
    <row r="9" spans="1:16" ht="15.75" x14ac:dyDescent="0.25">
      <c r="A9" s="39" t="s">
        <v>111</v>
      </c>
      <c r="B9" s="63">
        <v>2569941.02</v>
      </c>
      <c r="C9" s="60">
        <v>2827362.13</v>
      </c>
      <c r="D9" s="53"/>
      <c r="E9" s="53"/>
      <c r="F9" s="53"/>
      <c r="G9" s="53"/>
      <c r="H9" s="53"/>
      <c r="I9" s="53"/>
      <c r="J9" s="53"/>
      <c r="K9" s="53"/>
      <c r="L9" s="53"/>
      <c r="M9" s="53"/>
      <c r="N9" s="53">
        <v>5397303.1500000004</v>
      </c>
    </row>
    <row r="10" spans="1:16" s="40" customFormat="1" ht="15.75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</row>
    <row r="12" spans="1:16" x14ac:dyDescent="0.25">
      <c r="A12" s="48" t="s">
        <v>422</v>
      </c>
      <c r="B12" s="54" t="s">
        <v>423</v>
      </c>
    </row>
    <row r="13" spans="1:16" x14ac:dyDescent="0.25">
      <c r="A13" s="48" t="s">
        <v>81</v>
      </c>
      <c r="B13" s="8" t="s">
        <v>114</v>
      </c>
      <c r="C13" s="8" t="s">
        <v>115</v>
      </c>
      <c r="D13" s="8" t="s">
        <v>116</v>
      </c>
      <c r="E13" s="8" t="s">
        <v>117</v>
      </c>
      <c r="F13" s="8" t="s">
        <v>118</v>
      </c>
      <c r="G13" s="8" t="s">
        <v>119</v>
      </c>
      <c r="H13" s="8" t="s">
        <v>120</v>
      </c>
      <c r="I13" s="8" t="s">
        <v>121</v>
      </c>
      <c r="J13" s="8" t="s">
        <v>122</v>
      </c>
      <c r="K13" s="8" t="s">
        <v>123</v>
      </c>
      <c r="L13" s="8" t="s">
        <v>124</v>
      </c>
      <c r="M13" s="8" t="s">
        <v>125</v>
      </c>
      <c r="N13" s="8" t="s">
        <v>111</v>
      </c>
    </row>
    <row r="14" spans="1:16" ht="15.75" x14ac:dyDescent="0.25">
      <c r="A14" s="49" t="s">
        <v>405</v>
      </c>
      <c r="B14" s="59">
        <v>25654.98</v>
      </c>
      <c r="C14" s="59">
        <v>24924.75</v>
      </c>
      <c r="D14" s="55">
        <v>252.54</v>
      </c>
      <c r="E14" s="55"/>
      <c r="F14" s="55"/>
      <c r="G14" s="55"/>
      <c r="H14" s="55"/>
      <c r="I14" s="55"/>
      <c r="J14" s="55"/>
      <c r="K14" s="55"/>
      <c r="L14" s="55"/>
      <c r="M14" s="55"/>
      <c r="N14" s="55">
        <v>50832.27</v>
      </c>
    </row>
    <row r="15" spans="1:16" ht="15.75" x14ac:dyDescent="0.25">
      <c r="A15" s="49" t="s">
        <v>113</v>
      </c>
      <c r="B15" s="59">
        <v>20041.52</v>
      </c>
      <c r="C15" s="59">
        <v>24654.9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>
        <v>44696.42</v>
      </c>
    </row>
    <row r="16" spans="1:16" ht="15.75" x14ac:dyDescent="0.25">
      <c r="A16" s="49" t="s">
        <v>416</v>
      </c>
      <c r="B16" s="59">
        <v>19969</v>
      </c>
      <c r="C16" s="59">
        <v>23026.92</v>
      </c>
      <c r="D16" s="55">
        <v>407.26</v>
      </c>
      <c r="E16" s="55"/>
      <c r="F16" s="55"/>
      <c r="G16" s="55"/>
      <c r="H16" s="55"/>
      <c r="I16" s="55"/>
      <c r="J16" s="55"/>
      <c r="K16" s="55"/>
      <c r="L16" s="55"/>
      <c r="M16" s="55"/>
      <c r="N16" s="55">
        <v>43403.18</v>
      </c>
    </row>
    <row r="17" spans="1:14" ht="15.75" x14ac:dyDescent="0.25">
      <c r="A17" s="49" t="s">
        <v>419</v>
      </c>
      <c r="B17" s="59">
        <v>837.96</v>
      </c>
      <c r="C17" s="59">
        <v>2466.98</v>
      </c>
      <c r="D17" s="55">
        <v>192.92</v>
      </c>
      <c r="E17" s="55"/>
      <c r="F17" s="55"/>
      <c r="G17" s="55"/>
      <c r="H17" s="55"/>
      <c r="I17" s="55"/>
      <c r="J17" s="55"/>
      <c r="K17" s="55"/>
      <c r="L17" s="55"/>
      <c r="M17" s="55"/>
      <c r="N17" s="55">
        <v>3497.86</v>
      </c>
    </row>
    <row r="18" spans="1:14" ht="15.75" x14ac:dyDescent="0.25">
      <c r="A18" s="39" t="s">
        <v>111</v>
      </c>
      <c r="B18" s="62">
        <v>66503.459999999992</v>
      </c>
      <c r="C18" s="62">
        <v>75073.55</v>
      </c>
      <c r="D18" s="55">
        <v>852.72</v>
      </c>
      <c r="E18" s="55"/>
      <c r="F18" s="55"/>
      <c r="G18" s="55"/>
      <c r="H18" s="55"/>
      <c r="I18" s="55"/>
      <c r="J18" s="55"/>
      <c r="K18" s="55"/>
      <c r="L18" s="55"/>
      <c r="M18" s="55"/>
      <c r="N18" s="55">
        <v>142429.73000000001</v>
      </c>
    </row>
    <row r="19" spans="1:14" x14ac:dyDescent="0.25">
      <c r="B19"/>
      <c r="C19"/>
      <c r="D19"/>
      <c r="E19"/>
      <c r="F19"/>
      <c r="G19"/>
      <c r="H19"/>
      <c r="I19"/>
      <c r="J19"/>
      <c r="K19"/>
      <c r="L19"/>
      <c r="M19"/>
      <c r="N19"/>
    </row>
  </sheetData>
  <conditionalFormatting pivot="1" sqref="L5:L8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{F72EFF3D-4C16-4D34-9948-3EA9C185176A}</x14:id>
        </ext>
      </extLst>
    </cfRule>
  </conditionalFormatting>
  <conditionalFormatting pivot="1" sqref="B5:K8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{62FD152F-A9F4-490A-90FA-A43F54E07546}</x14:id>
        </ext>
      </extLst>
    </cfRule>
  </conditionalFormatting>
  <conditionalFormatting pivot="1" sqref="B14:L17">
    <cfRule type="dataBar" priority="3">
      <dataBar>
        <cfvo type="min"/>
        <cfvo type="max"/>
        <color theme="6" tint="0.59999389629810485"/>
      </dataBar>
      <extLst>
        <ext xmlns:x14="http://schemas.microsoft.com/office/spreadsheetml/2009/9/main" uri="{B025F937-C7B1-47D3-B67F-A62EFF666E3E}">
          <x14:id>{463E112E-F8EE-4AE5-BA77-B5915AAE4316}</x14:id>
        </ext>
      </extLst>
    </cfRule>
  </conditionalFormatting>
  <conditionalFormatting pivot="1" sqref="M5:M8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{20CCCB3A-4340-474C-8497-8A18A192DBF8}</x14:id>
        </ext>
      </extLst>
    </cfRule>
  </conditionalFormatting>
  <conditionalFormatting pivot="1" sqref="M14:M17">
    <cfRule type="dataBar" priority="1">
      <dataBar>
        <cfvo type="min"/>
        <cfvo type="max"/>
        <color theme="6" tint="0.59999389629810485"/>
      </dataBar>
      <extLst>
        <ext xmlns:x14="http://schemas.microsoft.com/office/spreadsheetml/2009/9/main" uri="{B025F937-C7B1-47D3-B67F-A62EFF666E3E}">
          <x14:id>{34706BE6-5DA8-4D96-B90A-EAEB4F70102C}</x14:id>
        </ext>
      </extLst>
    </cfRule>
  </conditionalFormatting>
  <pageMargins left="0.7" right="0.7" top="0.75" bottom="0.75" header="0.3" footer="0.3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F72EFF3D-4C16-4D34-9948-3EA9C18517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L5:L8</xm:sqref>
        </x14:conditionalFormatting>
        <x14:conditionalFormatting xmlns:xm="http://schemas.microsoft.com/office/excel/2006/main" pivot="1">
          <x14:cfRule type="dataBar" id="{62FD152F-A9F4-490A-90FA-A43F54E075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B5:K8</xm:sqref>
        </x14:conditionalFormatting>
        <x14:conditionalFormatting xmlns:xm="http://schemas.microsoft.com/office/excel/2006/main" pivot="1">
          <x14:cfRule type="dataBar" id="{463E112E-F8EE-4AE5-BA77-B5915AAE4316}">
            <x14:dataBar minLength="0" maxLength="100" border="1" negativeBarBorderColorSameAsPositive="0">
              <x14:cfvo type="autoMin"/>
              <x14:cfvo type="autoMax"/>
              <x14:borderColor theme="6" tint="0.59999389629810485"/>
              <x14:negativeFillColor rgb="FFFF0000"/>
              <x14:negativeBorderColor rgb="FFFF0000"/>
              <x14:axisColor rgb="FF000000"/>
            </x14:dataBar>
          </x14:cfRule>
          <xm:sqref>B14:L17</xm:sqref>
        </x14:conditionalFormatting>
        <x14:conditionalFormatting xmlns:xm="http://schemas.microsoft.com/office/excel/2006/main" pivot="1">
          <x14:cfRule type="dataBar" id="{20CCCB3A-4340-474C-8497-8A18A192DBF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M5:M8</xm:sqref>
        </x14:conditionalFormatting>
        <x14:conditionalFormatting xmlns:xm="http://schemas.microsoft.com/office/excel/2006/main" pivot="1">
          <x14:cfRule type="dataBar" id="{34706BE6-5DA8-4D96-B90A-EAEB4F70102C}">
            <x14:dataBar minLength="0" maxLength="100" border="1" negativeBarBorderColorSameAsPositive="0">
              <x14:cfvo type="autoMin"/>
              <x14:cfvo type="autoMax"/>
              <x14:borderColor theme="6" tint="0.59999389629810485"/>
              <x14:negativeFillColor rgb="FFFF0000"/>
              <x14:negativeBorderColor rgb="FFFF0000"/>
              <x14:axisColor rgb="FF000000"/>
            </x14:dataBar>
          </x14:cfRule>
          <xm:sqref>M14:M17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42600-F3EB-49A9-81A1-1180DC2A2B0B}">
  <dimension ref="A1:N22"/>
  <sheetViews>
    <sheetView workbookViewId="0">
      <selection activeCell="D18" sqref="A1:D18"/>
    </sheetView>
  </sheetViews>
  <sheetFormatPr baseColWidth="10" defaultRowHeight="15" x14ac:dyDescent="0.25"/>
  <cols>
    <col min="1" max="1" width="30.28515625" bestFit="1" customWidth="1"/>
    <col min="2" max="3" width="17.140625" bestFit="1" customWidth="1"/>
    <col min="4" max="4" width="15.28515625" style="108" bestFit="1" customWidth="1"/>
    <col min="5" max="9" width="7.7109375" customWidth="1"/>
    <col min="14" max="14" width="13.85546875" bestFit="1" customWidth="1"/>
  </cols>
  <sheetData>
    <row r="1" spans="1:14" ht="18.75" x14ac:dyDescent="0.3">
      <c r="A1" s="114" t="s">
        <v>424</v>
      </c>
    </row>
    <row r="3" spans="1:14" x14ac:dyDescent="0.25">
      <c r="A3" s="1" t="s">
        <v>421</v>
      </c>
      <c r="B3" s="1" t="s">
        <v>423</v>
      </c>
    </row>
    <row r="4" spans="1:14" x14ac:dyDescent="0.25">
      <c r="A4" s="111" t="s">
        <v>81</v>
      </c>
      <c r="B4" s="111" t="s">
        <v>114</v>
      </c>
      <c r="C4" s="111" t="s">
        <v>115</v>
      </c>
      <c r="D4" s="112" t="s">
        <v>443</v>
      </c>
      <c r="E4" t="s">
        <v>117</v>
      </c>
      <c r="F4" t="s">
        <v>118</v>
      </c>
      <c r="G4" t="s">
        <v>119</v>
      </c>
      <c r="H4" t="s">
        <v>120</v>
      </c>
      <c r="I4" t="s">
        <v>121</v>
      </c>
      <c r="J4" t="s">
        <v>122</v>
      </c>
      <c r="K4" t="s">
        <v>123</v>
      </c>
      <c r="L4" t="s">
        <v>124</v>
      </c>
      <c r="M4" t="s">
        <v>125</v>
      </c>
      <c r="N4" t="s">
        <v>111</v>
      </c>
    </row>
    <row r="5" spans="1:14" x14ac:dyDescent="0.25">
      <c r="A5" t="s">
        <v>405</v>
      </c>
      <c r="B5" s="14">
        <v>1217789.81</v>
      </c>
      <c r="C5" s="14">
        <v>1066540.7</v>
      </c>
      <c r="D5" s="109">
        <f>(B5+C5)/2</f>
        <v>1142165.2549999999</v>
      </c>
      <c r="E5" s="14"/>
      <c r="F5" s="14"/>
      <c r="G5" s="14"/>
      <c r="H5" s="14"/>
      <c r="I5" s="14"/>
      <c r="J5" s="14"/>
      <c r="K5" s="14"/>
      <c r="L5" s="64"/>
      <c r="M5" s="64"/>
      <c r="N5" s="64">
        <v>2284330.5099999998</v>
      </c>
    </row>
    <row r="6" spans="1:14" x14ac:dyDescent="0.25">
      <c r="A6" t="s">
        <v>416</v>
      </c>
      <c r="B6" s="14">
        <v>673049.92</v>
      </c>
      <c r="C6" s="14">
        <v>868765.75</v>
      </c>
      <c r="D6" s="109">
        <f>(B6+C6)/2</f>
        <v>770907.83499999996</v>
      </c>
      <c r="E6" s="14"/>
      <c r="F6" s="14"/>
      <c r="G6" s="14"/>
      <c r="H6" s="14"/>
      <c r="I6" s="14"/>
      <c r="J6" s="14"/>
      <c r="K6" s="14"/>
      <c r="L6" s="64"/>
      <c r="M6" s="64"/>
      <c r="N6" s="64">
        <v>1541815.67</v>
      </c>
    </row>
    <row r="7" spans="1:14" x14ac:dyDescent="0.25">
      <c r="A7" t="s">
        <v>419</v>
      </c>
      <c r="B7" s="14">
        <v>622444.19999999995</v>
      </c>
      <c r="C7" s="14">
        <v>770345.13</v>
      </c>
      <c r="D7" s="109">
        <f>(B7+C7)/2</f>
        <v>696394.66500000004</v>
      </c>
      <c r="E7" s="14"/>
      <c r="F7" s="14"/>
      <c r="G7" s="14"/>
      <c r="H7" s="14"/>
      <c r="I7" s="14"/>
      <c r="J7" s="14"/>
      <c r="K7" s="14"/>
      <c r="L7" s="64"/>
      <c r="M7" s="64"/>
      <c r="N7" s="64">
        <v>1392789.33</v>
      </c>
    </row>
    <row r="8" spans="1:14" x14ac:dyDescent="0.25">
      <c r="A8" t="s">
        <v>113</v>
      </c>
      <c r="B8" s="14">
        <v>56657.09</v>
      </c>
      <c r="C8" s="14">
        <v>121710.55</v>
      </c>
      <c r="D8" s="109">
        <f>(B8+C8)/2</f>
        <v>89183.82</v>
      </c>
      <c r="E8" s="14"/>
      <c r="F8" s="14"/>
      <c r="G8" s="14"/>
      <c r="H8" s="14"/>
      <c r="I8" s="14"/>
      <c r="J8" s="14"/>
      <c r="K8" s="14"/>
      <c r="L8" s="64"/>
      <c r="M8" s="64"/>
      <c r="N8" s="64">
        <v>178367.64</v>
      </c>
    </row>
    <row r="9" spans="1:14" x14ac:dyDescent="0.25">
      <c r="A9" s="111" t="s">
        <v>111</v>
      </c>
      <c r="B9" s="113">
        <v>2569941.02</v>
      </c>
      <c r="C9" s="113">
        <v>2827362.13</v>
      </c>
      <c r="D9" s="90"/>
      <c r="E9" s="64"/>
      <c r="F9" s="64"/>
      <c r="G9" s="64"/>
      <c r="H9" s="64"/>
      <c r="I9" s="64"/>
      <c r="J9" s="64"/>
      <c r="K9" s="64"/>
      <c r="L9" s="64"/>
      <c r="M9" s="64"/>
      <c r="N9" s="64">
        <v>5397303.1500000004</v>
      </c>
    </row>
    <row r="12" spans="1:14" x14ac:dyDescent="0.25">
      <c r="A12" t="s">
        <v>422</v>
      </c>
      <c r="B12" t="s">
        <v>423</v>
      </c>
    </row>
    <row r="13" spans="1:14" x14ac:dyDescent="0.25">
      <c r="A13" s="111" t="s">
        <v>81</v>
      </c>
      <c r="B13" s="111" t="s">
        <v>114</v>
      </c>
      <c r="C13" s="111" t="s">
        <v>115</v>
      </c>
      <c r="D13" s="112" t="s">
        <v>443</v>
      </c>
      <c r="E13" t="s">
        <v>117</v>
      </c>
      <c r="F13" t="s">
        <v>118</v>
      </c>
      <c r="G13" t="s">
        <v>119</v>
      </c>
      <c r="H13" t="s">
        <v>120</v>
      </c>
      <c r="I13" t="s">
        <v>121</v>
      </c>
      <c r="J13" t="s">
        <v>122</v>
      </c>
      <c r="K13" t="s">
        <v>123</v>
      </c>
      <c r="L13" t="s">
        <v>124</v>
      </c>
      <c r="M13" t="s">
        <v>125</v>
      </c>
      <c r="N13" t="s">
        <v>111</v>
      </c>
    </row>
    <row r="14" spans="1:14" x14ac:dyDescent="0.25">
      <c r="A14" t="s">
        <v>405</v>
      </c>
      <c r="B14" s="58">
        <v>25654.98</v>
      </c>
      <c r="C14" s="58">
        <v>24924.75</v>
      </c>
      <c r="D14" s="110">
        <f>(C14+B14)/2</f>
        <v>25289.864999999998</v>
      </c>
      <c r="E14" s="58"/>
      <c r="F14" s="58"/>
      <c r="G14" s="58"/>
      <c r="H14" s="58"/>
      <c r="I14" s="58"/>
      <c r="J14" s="58"/>
      <c r="K14" s="58"/>
      <c r="L14" s="58"/>
      <c r="M14" s="58"/>
      <c r="N14" s="58">
        <v>50832.27</v>
      </c>
    </row>
    <row r="15" spans="1:14" x14ac:dyDescent="0.25">
      <c r="A15" t="s">
        <v>113</v>
      </c>
      <c r="B15" s="58">
        <v>10858.720000000001</v>
      </c>
      <c r="C15" s="58">
        <v>24654.9</v>
      </c>
      <c r="D15" s="110">
        <f t="shared" ref="D15" si="0">(C15+B15)/2</f>
        <v>17756.810000000001</v>
      </c>
      <c r="E15" s="58"/>
      <c r="F15" s="58"/>
      <c r="G15" s="58"/>
      <c r="H15" s="58"/>
      <c r="I15" s="58"/>
      <c r="J15" s="58"/>
      <c r="K15" s="58"/>
      <c r="L15" s="58"/>
      <c r="M15" s="58"/>
      <c r="N15" s="58">
        <v>44696.42</v>
      </c>
    </row>
    <row r="16" spans="1:14" x14ac:dyDescent="0.25">
      <c r="A16" t="s">
        <v>416</v>
      </c>
      <c r="B16" s="58">
        <v>19969</v>
      </c>
      <c r="C16" s="58">
        <v>23026.92</v>
      </c>
      <c r="D16" s="110">
        <f>(C16+B16)/2</f>
        <v>21497.96</v>
      </c>
      <c r="E16" s="58"/>
      <c r="F16" s="58"/>
      <c r="G16" s="58"/>
      <c r="H16" s="58"/>
      <c r="I16" s="58"/>
      <c r="J16" s="58"/>
      <c r="K16" s="58"/>
      <c r="L16" s="58"/>
      <c r="M16" s="58"/>
      <c r="N16" s="58">
        <v>43403.18</v>
      </c>
    </row>
    <row r="17" spans="1:14" x14ac:dyDescent="0.25">
      <c r="A17" t="s">
        <v>419</v>
      </c>
      <c r="B17" s="58">
        <v>10020</v>
      </c>
      <c r="C17" s="58">
        <v>2466.98</v>
      </c>
      <c r="D17" s="110">
        <f>(C17+B17)/2</f>
        <v>6243.49</v>
      </c>
      <c r="E17" s="58"/>
      <c r="F17" s="58"/>
      <c r="G17" s="58"/>
      <c r="H17" s="58"/>
      <c r="I17" s="58"/>
      <c r="J17" s="58"/>
      <c r="K17" s="58"/>
      <c r="L17" s="58"/>
      <c r="M17" s="58"/>
      <c r="N17" s="58">
        <v>3497.86</v>
      </c>
    </row>
    <row r="18" spans="1:14" x14ac:dyDescent="0.25">
      <c r="A18" s="111" t="s">
        <v>111</v>
      </c>
      <c r="B18" s="115">
        <v>66502.7</v>
      </c>
      <c r="C18" s="116">
        <v>75073.55</v>
      </c>
      <c r="D18" s="110"/>
      <c r="E18" s="58"/>
      <c r="F18" s="58"/>
      <c r="G18" s="58"/>
      <c r="H18" s="58"/>
      <c r="I18" s="58"/>
      <c r="J18" s="58"/>
      <c r="K18" s="58"/>
      <c r="L18" s="58"/>
      <c r="M18" s="58"/>
      <c r="N18" s="58">
        <v>142429.73000000001</v>
      </c>
    </row>
    <row r="22" spans="1:14" x14ac:dyDescent="0.25">
      <c r="B22" s="58"/>
    </row>
  </sheetData>
  <conditionalFormatting sqref="A5:D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{C78D6A57-26DA-40CA-9767-3D8F0B37D227}</x14:id>
        </ext>
      </extLst>
    </cfRule>
  </conditionalFormatting>
  <conditionalFormatting sqref="A14:D17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{ABC51B2D-B137-4ACA-8EA6-F5AA2399A781}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8D6A57-26DA-40CA-9767-3D8F0B37D2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A5:D8</xm:sqref>
        </x14:conditionalFormatting>
        <x14:conditionalFormatting xmlns:xm="http://schemas.microsoft.com/office/excel/2006/main">
          <x14:cfRule type="dataBar" id="{ABC51B2D-B137-4ACA-8EA6-F5AA2399A7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A14:D17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7D048-8818-4083-A8EE-E77A75172BEA}">
  <sheetPr>
    <tabColor theme="5" tint="0.39997558519241921"/>
  </sheetPr>
  <dimension ref="A1:D49"/>
  <sheetViews>
    <sheetView workbookViewId="0">
      <selection activeCell="C46" sqref="C46"/>
    </sheetView>
  </sheetViews>
  <sheetFormatPr baseColWidth="10" defaultRowHeight="15" x14ac:dyDescent="0.25"/>
  <cols>
    <col min="1" max="1" width="20.5703125" bestFit="1" customWidth="1"/>
    <col min="3" max="3" width="17.140625" bestFit="1" customWidth="1"/>
    <col min="4" max="4" width="15.5703125" style="58" bestFit="1" customWidth="1"/>
  </cols>
  <sheetData>
    <row r="1" spans="1:4" x14ac:dyDescent="0.25">
      <c r="A1" s="28" t="s">
        <v>81</v>
      </c>
      <c r="B1" s="28" t="s">
        <v>7</v>
      </c>
      <c r="C1" s="28" t="s">
        <v>341</v>
      </c>
      <c r="D1" s="28" t="s">
        <v>348</v>
      </c>
    </row>
    <row r="2" spans="1:4" x14ac:dyDescent="0.25">
      <c r="A2" t="s">
        <v>113</v>
      </c>
      <c r="B2" t="s">
        <v>114</v>
      </c>
      <c r="C2" s="14">
        <v>622444.19999999995</v>
      </c>
      <c r="D2" s="58">
        <v>20041.52</v>
      </c>
    </row>
    <row r="3" spans="1:4" x14ac:dyDescent="0.25">
      <c r="A3" t="s">
        <v>113</v>
      </c>
      <c r="B3" t="s">
        <v>115</v>
      </c>
      <c r="C3" s="14">
        <v>770345.13</v>
      </c>
      <c r="D3" s="58">
        <v>24654.9</v>
      </c>
    </row>
    <row r="4" spans="1:4" x14ac:dyDescent="0.25">
      <c r="A4" t="s">
        <v>113</v>
      </c>
      <c r="B4" t="s">
        <v>116</v>
      </c>
      <c r="C4" s="14"/>
    </row>
    <row r="5" spans="1:4" x14ac:dyDescent="0.25">
      <c r="A5" t="s">
        <v>113</v>
      </c>
      <c r="B5" t="s">
        <v>117</v>
      </c>
      <c r="C5" s="14"/>
    </row>
    <row r="6" spans="1:4" x14ac:dyDescent="0.25">
      <c r="A6" t="s">
        <v>113</v>
      </c>
      <c r="B6" t="s">
        <v>118</v>
      </c>
      <c r="C6" s="14"/>
    </row>
    <row r="7" spans="1:4" x14ac:dyDescent="0.25">
      <c r="A7" t="s">
        <v>113</v>
      </c>
      <c r="B7" t="s">
        <v>119</v>
      </c>
      <c r="C7" s="14"/>
    </row>
    <row r="8" spans="1:4" x14ac:dyDescent="0.25">
      <c r="A8" t="s">
        <v>113</v>
      </c>
      <c r="B8" t="s">
        <v>120</v>
      </c>
      <c r="C8" s="14"/>
    </row>
    <row r="9" spans="1:4" x14ac:dyDescent="0.25">
      <c r="A9" t="s">
        <v>113</v>
      </c>
      <c r="B9" t="s">
        <v>121</v>
      </c>
      <c r="C9" s="14"/>
    </row>
    <row r="10" spans="1:4" x14ac:dyDescent="0.25">
      <c r="A10" t="s">
        <v>113</v>
      </c>
      <c r="B10" t="s">
        <v>122</v>
      </c>
      <c r="C10" s="14"/>
    </row>
    <row r="11" spans="1:4" x14ac:dyDescent="0.25">
      <c r="A11" t="s">
        <v>113</v>
      </c>
      <c r="B11" t="s">
        <v>123</v>
      </c>
      <c r="C11" s="14"/>
    </row>
    <row r="12" spans="1:4" x14ac:dyDescent="0.25">
      <c r="A12" t="s">
        <v>113</v>
      </c>
      <c r="B12" t="s">
        <v>124</v>
      </c>
      <c r="C12" s="14"/>
    </row>
    <row r="13" spans="1:4" x14ac:dyDescent="0.25">
      <c r="A13" t="s">
        <v>113</v>
      </c>
      <c r="B13" t="s">
        <v>125</v>
      </c>
      <c r="C13" s="14"/>
    </row>
    <row r="14" spans="1:4" x14ac:dyDescent="0.25">
      <c r="A14" t="s">
        <v>419</v>
      </c>
      <c r="B14" t="s">
        <v>114</v>
      </c>
      <c r="C14" s="14">
        <v>56657.09</v>
      </c>
      <c r="D14" s="58">
        <v>837.96</v>
      </c>
    </row>
    <row r="15" spans="1:4" x14ac:dyDescent="0.25">
      <c r="A15" t="s">
        <v>419</v>
      </c>
      <c r="B15" t="s">
        <v>115</v>
      </c>
      <c r="C15" s="14">
        <v>121710.55</v>
      </c>
      <c r="D15" s="58">
        <v>2466.98</v>
      </c>
    </row>
    <row r="16" spans="1:4" x14ac:dyDescent="0.25">
      <c r="A16" t="s">
        <v>419</v>
      </c>
      <c r="B16" t="s">
        <v>116</v>
      </c>
      <c r="C16" s="14"/>
      <c r="D16" s="58">
        <v>192.92</v>
      </c>
    </row>
    <row r="17" spans="1:4" x14ac:dyDescent="0.25">
      <c r="A17" t="s">
        <v>419</v>
      </c>
      <c r="B17" t="s">
        <v>117</v>
      </c>
      <c r="C17" s="14"/>
    </row>
    <row r="18" spans="1:4" x14ac:dyDescent="0.25">
      <c r="A18" t="s">
        <v>419</v>
      </c>
      <c r="B18" t="s">
        <v>118</v>
      </c>
      <c r="C18" s="14"/>
    </row>
    <row r="19" spans="1:4" x14ac:dyDescent="0.25">
      <c r="A19" t="s">
        <v>419</v>
      </c>
      <c r="B19" t="s">
        <v>119</v>
      </c>
      <c r="C19" s="14"/>
    </row>
    <row r="20" spans="1:4" x14ac:dyDescent="0.25">
      <c r="A20" t="s">
        <v>419</v>
      </c>
      <c r="B20" t="s">
        <v>120</v>
      </c>
      <c r="C20" s="14"/>
    </row>
    <row r="21" spans="1:4" x14ac:dyDescent="0.25">
      <c r="A21" t="s">
        <v>419</v>
      </c>
      <c r="B21" t="s">
        <v>121</v>
      </c>
      <c r="C21" s="14"/>
    </row>
    <row r="22" spans="1:4" x14ac:dyDescent="0.25">
      <c r="A22" t="s">
        <v>419</v>
      </c>
      <c r="B22" t="s">
        <v>122</v>
      </c>
      <c r="C22" s="14"/>
    </row>
    <row r="23" spans="1:4" x14ac:dyDescent="0.25">
      <c r="A23" t="s">
        <v>419</v>
      </c>
      <c r="B23" t="s">
        <v>123</v>
      </c>
      <c r="C23" s="14"/>
    </row>
    <row r="24" spans="1:4" x14ac:dyDescent="0.25">
      <c r="A24" t="s">
        <v>419</v>
      </c>
      <c r="B24" t="s">
        <v>124</v>
      </c>
      <c r="C24" s="14"/>
    </row>
    <row r="25" spans="1:4" x14ac:dyDescent="0.25">
      <c r="A25" t="s">
        <v>419</v>
      </c>
      <c r="B25" t="s">
        <v>125</v>
      </c>
      <c r="C25" s="14"/>
    </row>
    <row r="26" spans="1:4" x14ac:dyDescent="0.25">
      <c r="A26" t="s">
        <v>416</v>
      </c>
      <c r="B26" t="s">
        <v>114</v>
      </c>
      <c r="C26" s="14">
        <v>673049.92</v>
      </c>
      <c r="D26" s="58">
        <v>19969</v>
      </c>
    </row>
    <row r="27" spans="1:4" x14ac:dyDescent="0.25">
      <c r="A27" t="s">
        <v>416</v>
      </c>
      <c r="B27" t="s">
        <v>115</v>
      </c>
      <c r="C27" s="14">
        <v>868765.75</v>
      </c>
      <c r="D27" s="58">
        <v>23026.92</v>
      </c>
    </row>
    <row r="28" spans="1:4" x14ac:dyDescent="0.25">
      <c r="A28" t="s">
        <v>416</v>
      </c>
      <c r="B28" t="s">
        <v>116</v>
      </c>
      <c r="C28" s="14"/>
      <c r="D28" s="58">
        <v>407.26</v>
      </c>
    </row>
    <row r="29" spans="1:4" x14ac:dyDescent="0.25">
      <c r="A29" t="s">
        <v>416</v>
      </c>
      <c r="B29" t="s">
        <v>117</v>
      </c>
      <c r="C29" s="14"/>
    </row>
    <row r="30" spans="1:4" x14ac:dyDescent="0.25">
      <c r="A30" t="s">
        <v>416</v>
      </c>
      <c r="B30" t="s">
        <v>118</v>
      </c>
      <c r="C30" s="14"/>
    </row>
    <row r="31" spans="1:4" x14ac:dyDescent="0.25">
      <c r="A31" t="s">
        <v>416</v>
      </c>
      <c r="B31" t="s">
        <v>119</v>
      </c>
      <c r="C31" s="14"/>
    </row>
    <row r="32" spans="1:4" x14ac:dyDescent="0.25">
      <c r="A32" t="s">
        <v>416</v>
      </c>
      <c r="B32" t="s">
        <v>120</v>
      </c>
      <c r="C32" s="14"/>
    </row>
    <row r="33" spans="1:4" x14ac:dyDescent="0.25">
      <c r="A33" t="s">
        <v>416</v>
      </c>
      <c r="B33" t="s">
        <v>121</v>
      </c>
      <c r="C33" s="14"/>
    </row>
    <row r="34" spans="1:4" x14ac:dyDescent="0.25">
      <c r="A34" t="s">
        <v>416</v>
      </c>
      <c r="B34" t="s">
        <v>122</v>
      </c>
      <c r="C34" s="14"/>
    </row>
    <row r="35" spans="1:4" x14ac:dyDescent="0.25">
      <c r="A35" t="s">
        <v>416</v>
      </c>
      <c r="B35" t="s">
        <v>123</v>
      </c>
      <c r="C35" s="14"/>
    </row>
    <row r="36" spans="1:4" x14ac:dyDescent="0.25">
      <c r="A36" t="s">
        <v>416</v>
      </c>
      <c r="B36" t="s">
        <v>124</v>
      </c>
      <c r="C36" s="14"/>
    </row>
    <row r="37" spans="1:4" x14ac:dyDescent="0.25">
      <c r="A37" t="s">
        <v>416</v>
      </c>
      <c r="B37" t="s">
        <v>125</v>
      </c>
      <c r="C37" s="14"/>
    </row>
    <row r="38" spans="1:4" x14ac:dyDescent="0.25">
      <c r="A38" t="s">
        <v>405</v>
      </c>
      <c r="B38" t="s">
        <v>114</v>
      </c>
      <c r="C38" s="14">
        <v>1217789.81</v>
      </c>
      <c r="D38" s="58">
        <v>25654.98</v>
      </c>
    </row>
    <row r="39" spans="1:4" x14ac:dyDescent="0.25">
      <c r="A39" t="s">
        <v>405</v>
      </c>
      <c r="B39" t="s">
        <v>115</v>
      </c>
      <c r="C39" s="14">
        <v>1066540.7</v>
      </c>
      <c r="D39" s="58">
        <v>24924.75</v>
      </c>
    </row>
    <row r="40" spans="1:4" x14ac:dyDescent="0.25">
      <c r="A40" t="s">
        <v>405</v>
      </c>
      <c r="B40" t="s">
        <v>116</v>
      </c>
      <c r="C40" s="14"/>
      <c r="D40" s="58">
        <v>22679.07</v>
      </c>
    </row>
    <row r="41" spans="1:4" x14ac:dyDescent="0.25">
      <c r="A41" t="s">
        <v>405</v>
      </c>
      <c r="B41" t="s">
        <v>117</v>
      </c>
      <c r="C41" s="14"/>
    </row>
    <row r="42" spans="1:4" x14ac:dyDescent="0.25">
      <c r="A42" t="s">
        <v>405</v>
      </c>
      <c r="B42" t="s">
        <v>118</v>
      </c>
      <c r="C42" s="14"/>
    </row>
    <row r="43" spans="1:4" x14ac:dyDescent="0.25">
      <c r="A43" t="s">
        <v>405</v>
      </c>
      <c r="B43" t="s">
        <v>119</v>
      </c>
      <c r="C43" s="14"/>
    </row>
    <row r="44" spans="1:4" x14ac:dyDescent="0.25">
      <c r="A44" t="s">
        <v>405</v>
      </c>
      <c r="B44" t="s">
        <v>120</v>
      </c>
      <c r="C44" s="14"/>
    </row>
    <row r="45" spans="1:4" x14ac:dyDescent="0.25">
      <c r="A45" t="s">
        <v>405</v>
      </c>
      <c r="B45" t="s">
        <v>121</v>
      </c>
      <c r="C45" s="14"/>
    </row>
    <row r="46" spans="1:4" x14ac:dyDescent="0.25">
      <c r="A46" t="s">
        <v>405</v>
      </c>
      <c r="B46" t="s">
        <v>122</v>
      </c>
      <c r="C46" s="14"/>
    </row>
    <row r="47" spans="1:4" x14ac:dyDescent="0.25">
      <c r="A47" t="s">
        <v>405</v>
      </c>
      <c r="B47" t="s">
        <v>123</v>
      </c>
      <c r="C47" s="14"/>
    </row>
    <row r="48" spans="1:4" x14ac:dyDescent="0.25">
      <c r="A48" t="s">
        <v>405</v>
      </c>
      <c r="B48" t="s">
        <v>124</v>
      </c>
      <c r="C48" s="14"/>
    </row>
    <row r="49" spans="1:3" x14ac:dyDescent="0.25">
      <c r="A49" t="s">
        <v>405</v>
      </c>
      <c r="B49" t="s">
        <v>125</v>
      </c>
      <c r="C49" s="14"/>
    </row>
  </sheetData>
  <autoFilter ref="A1:D49" xr:uid="{4FEAB484-9D87-489F-AD6D-4B0B1CB610EB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68E03-01FC-4B30-B743-5429C05FAC9C}">
  <sheetPr>
    <pageSetUpPr fitToPage="1"/>
  </sheetPr>
  <dimension ref="A1:C61"/>
  <sheetViews>
    <sheetView showGridLines="0" topLeftCell="A26" workbookViewId="0">
      <selection sqref="A1:D55"/>
    </sheetView>
  </sheetViews>
  <sheetFormatPr baseColWidth="10" defaultRowHeight="15" x14ac:dyDescent="0.25"/>
  <cols>
    <col min="1" max="1" width="58.7109375" bestFit="1" customWidth="1"/>
    <col min="2" max="3" width="17.140625" bestFit="1" customWidth="1"/>
  </cols>
  <sheetData>
    <row r="1" spans="1:3" ht="36" x14ac:dyDescent="0.55000000000000004">
      <c r="A1" s="99">
        <v>2026</v>
      </c>
    </row>
    <row r="3" spans="1:3" ht="21.75" thickBot="1" x14ac:dyDescent="0.4">
      <c r="A3" s="117" t="s">
        <v>405</v>
      </c>
      <c r="B3" s="117"/>
      <c r="C3" s="117"/>
    </row>
    <row r="4" spans="1:3" x14ac:dyDescent="0.25">
      <c r="A4" s="68" t="s">
        <v>433</v>
      </c>
      <c r="B4" s="69"/>
      <c r="C4" s="70"/>
    </row>
    <row r="5" spans="1:3" x14ac:dyDescent="0.25">
      <c r="A5" s="71" t="s">
        <v>421</v>
      </c>
      <c r="B5" s="123" t="s">
        <v>423</v>
      </c>
      <c r="C5" s="124"/>
    </row>
    <row r="6" spans="1:3" x14ac:dyDescent="0.25">
      <c r="A6" s="72" t="s">
        <v>81</v>
      </c>
      <c r="B6" s="65" t="s">
        <v>114</v>
      </c>
      <c r="C6" s="73" t="s">
        <v>115</v>
      </c>
    </row>
    <row r="7" spans="1:3" x14ac:dyDescent="0.25">
      <c r="A7" s="72" t="s">
        <v>405</v>
      </c>
      <c r="B7" s="67">
        <v>1217789.81</v>
      </c>
      <c r="C7" s="74">
        <v>1066540.7</v>
      </c>
    </row>
    <row r="8" spans="1:3" x14ac:dyDescent="0.25">
      <c r="A8" s="75"/>
      <c r="B8" s="64"/>
      <c r="C8" s="76"/>
    </row>
    <row r="9" spans="1:3" x14ac:dyDescent="0.25">
      <c r="A9" s="77" t="s">
        <v>432</v>
      </c>
      <c r="B9" s="64"/>
      <c r="C9" s="76"/>
    </row>
    <row r="10" spans="1:3" x14ac:dyDescent="0.25">
      <c r="A10" s="75" t="s">
        <v>425</v>
      </c>
      <c r="B10" s="64">
        <v>7960.74</v>
      </c>
      <c r="C10" s="76">
        <v>42607.839999999997</v>
      </c>
    </row>
    <row r="11" spans="1:3" x14ac:dyDescent="0.25">
      <c r="A11" s="75" t="s">
        <v>426</v>
      </c>
      <c r="B11" s="64">
        <v>32722.31</v>
      </c>
      <c r="C11" s="76">
        <v>36438.57</v>
      </c>
    </row>
    <row r="12" spans="1:3" x14ac:dyDescent="0.25">
      <c r="A12" s="75" t="s">
        <v>428</v>
      </c>
      <c r="B12" s="64"/>
      <c r="C12" s="76">
        <v>1950.72</v>
      </c>
    </row>
    <row r="13" spans="1:3" x14ac:dyDescent="0.25">
      <c r="A13" s="75" t="s">
        <v>429</v>
      </c>
      <c r="B13" s="64">
        <v>7841.55</v>
      </c>
      <c r="C13" s="76"/>
    </row>
    <row r="14" spans="1:3" x14ac:dyDescent="0.25">
      <c r="A14" s="75" t="s">
        <v>427</v>
      </c>
      <c r="B14" s="64">
        <v>53870.06</v>
      </c>
      <c r="C14" s="76">
        <v>51404.78</v>
      </c>
    </row>
    <row r="15" spans="1:3" x14ac:dyDescent="0.25">
      <c r="A15" s="75" t="s">
        <v>430</v>
      </c>
      <c r="B15" s="64">
        <v>31190.73</v>
      </c>
      <c r="C15" s="76">
        <v>102102.14</v>
      </c>
    </row>
    <row r="16" spans="1:3" x14ac:dyDescent="0.25">
      <c r="A16" s="75" t="s">
        <v>431</v>
      </c>
      <c r="B16" s="64">
        <v>4190.2</v>
      </c>
      <c r="C16" s="76"/>
    </row>
    <row r="17" spans="1:3" x14ac:dyDescent="0.25">
      <c r="A17" s="75"/>
      <c r="B17" s="78">
        <f>SUM(B10:B16)</f>
        <v>137775.59000000003</v>
      </c>
      <c r="C17" s="79">
        <f>SUM(C10:C16)</f>
        <v>234504.05</v>
      </c>
    </row>
    <row r="18" spans="1:3" x14ac:dyDescent="0.25">
      <c r="A18" s="75"/>
      <c r="B18" s="64"/>
      <c r="C18" s="76"/>
    </row>
    <row r="19" spans="1:3" x14ac:dyDescent="0.25">
      <c r="A19" s="77" t="s">
        <v>434</v>
      </c>
      <c r="B19" s="80"/>
      <c r="C19" s="81"/>
    </row>
    <row r="20" spans="1:3" x14ac:dyDescent="0.25">
      <c r="A20" s="72" t="s">
        <v>421</v>
      </c>
      <c r="B20" s="123" t="s">
        <v>423</v>
      </c>
      <c r="C20" s="124"/>
    </row>
    <row r="21" spans="1:3" x14ac:dyDescent="0.25">
      <c r="A21" s="72" t="s">
        <v>81</v>
      </c>
      <c r="B21" s="65" t="s">
        <v>114</v>
      </c>
      <c r="C21" s="73" t="s">
        <v>115</v>
      </c>
    </row>
    <row r="22" spans="1:3" x14ac:dyDescent="0.25">
      <c r="A22" s="72" t="s">
        <v>405</v>
      </c>
      <c r="B22" s="95">
        <f>+B7-B17</f>
        <v>1080014.22</v>
      </c>
      <c r="C22" s="96">
        <f>+C7-C17</f>
        <v>832036.64999999991</v>
      </c>
    </row>
    <row r="23" spans="1:3" ht="15.75" thickBot="1" x14ac:dyDescent="0.3">
      <c r="A23" s="82"/>
      <c r="B23" s="83"/>
      <c r="C23" s="84"/>
    </row>
    <row r="24" spans="1:3" x14ac:dyDescent="0.25">
      <c r="B24" s="64"/>
      <c r="C24" s="64"/>
    </row>
    <row r="25" spans="1:3" x14ac:dyDescent="0.25">
      <c r="B25" s="64"/>
      <c r="C25" s="64"/>
    </row>
    <row r="26" spans="1:3" ht="21.75" thickBot="1" x14ac:dyDescent="0.4">
      <c r="A26" s="117" t="s">
        <v>416</v>
      </c>
      <c r="B26" s="117"/>
      <c r="C26" s="117"/>
    </row>
    <row r="27" spans="1:3" x14ac:dyDescent="0.25">
      <c r="A27" s="68" t="s">
        <v>433</v>
      </c>
      <c r="B27" s="87"/>
      <c r="C27" s="88"/>
    </row>
    <row r="28" spans="1:3" x14ac:dyDescent="0.25">
      <c r="A28" s="71" t="s">
        <v>421</v>
      </c>
      <c r="B28" s="121" t="s">
        <v>423</v>
      </c>
      <c r="C28" s="122"/>
    </row>
    <row r="29" spans="1:3" x14ac:dyDescent="0.25">
      <c r="A29" s="72" t="s">
        <v>81</v>
      </c>
      <c r="B29" s="65" t="s">
        <v>114</v>
      </c>
      <c r="C29" s="73" t="s">
        <v>115</v>
      </c>
    </row>
    <row r="30" spans="1:3" x14ac:dyDescent="0.25">
      <c r="A30" s="71" t="s">
        <v>416</v>
      </c>
      <c r="B30" s="67">
        <v>673049.92</v>
      </c>
      <c r="C30" s="74">
        <v>868765.75</v>
      </c>
    </row>
    <row r="31" spans="1:3" x14ac:dyDescent="0.25">
      <c r="A31" s="75"/>
      <c r="B31" s="90"/>
      <c r="C31" s="91"/>
    </row>
    <row r="32" spans="1:3" x14ac:dyDescent="0.25">
      <c r="A32" s="77" t="s">
        <v>432</v>
      </c>
      <c r="B32" s="90"/>
      <c r="C32" s="91"/>
    </row>
    <row r="33" spans="1:3" x14ac:dyDescent="0.25">
      <c r="A33" s="75" t="s">
        <v>435</v>
      </c>
      <c r="B33" s="90">
        <v>68410.64</v>
      </c>
      <c r="C33" s="91">
        <v>125053.4</v>
      </c>
    </row>
    <row r="34" spans="1:3" x14ac:dyDescent="0.25">
      <c r="A34" s="75"/>
      <c r="B34" s="90"/>
      <c r="C34" s="91"/>
    </row>
    <row r="35" spans="1:3" x14ac:dyDescent="0.25">
      <c r="A35" s="77" t="s">
        <v>434</v>
      </c>
      <c r="B35" s="85"/>
      <c r="C35" s="86"/>
    </row>
    <row r="36" spans="1:3" x14ac:dyDescent="0.25">
      <c r="A36" s="72" t="s">
        <v>421</v>
      </c>
      <c r="B36" s="123" t="s">
        <v>423</v>
      </c>
      <c r="C36" s="124"/>
    </row>
    <row r="37" spans="1:3" x14ac:dyDescent="0.25">
      <c r="A37" s="72" t="s">
        <v>81</v>
      </c>
      <c r="B37" s="65" t="s">
        <v>114</v>
      </c>
      <c r="C37" s="73" t="s">
        <v>115</v>
      </c>
    </row>
    <row r="38" spans="1:3" ht="15.75" thickBot="1" x14ac:dyDescent="0.3">
      <c r="A38" s="92" t="s">
        <v>416</v>
      </c>
      <c r="B38" s="97">
        <f>+B30-B33</f>
        <v>604639.28</v>
      </c>
      <c r="C38" s="98">
        <f>+C30-C33</f>
        <v>743712.35</v>
      </c>
    </row>
    <row r="39" spans="1:3" x14ac:dyDescent="0.25">
      <c r="B39" s="64"/>
      <c r="C39" s="64"/>
    </row>
    <row r="40" spans="1:3" ht="15.75" thickBot="1" x14ac:dyDescent="0.3">
      <c r="B40" s="64"/>
      <c r="C40" s="64"/>
    </row>
    <row r="41" spans="1:3" ht="21" x14ac:dyDescent="0.35">
      <c r="A41" s="118" t="s">
        <v>113</v>
      </c>
      <c r="B41" s="119"/>
      <c r="C41" s="120"/>
    </row>
    <row r="42" spans="1:3" x14ac:dyDescent="0.25">
      <c r="A42" s="72" t="s">
        <v>433</v>
      </c>
      <c r="B42" s="66"/>
      <c r="C42" s="89"/>
    </row>
    <row r="43" spans="1:3" x14ac:dyDescent="0.25">
      <c r="A43" s="71" t="s">
        <v>421</v>
      </c>
      <c r="B43" s="121" t="s">
        <v>423</v>
      </c>
      <c r="C43" s="122"/>
    </row>
    <row r="44" spans="1:3" x14ac:dyDescent="0.25">
      <c r="A44" s="72" t="s">
        <v>81</v>
      </c>
      <c r="B44" s="65" t="s">
        <v>114</v>
      </c>
      <c r="C44" s="73" t="s">
        <v>115</v>
      </c>
    </row>
    <row r="45" spans="1:3" x14ac:dyDescent="0.25">
      <c r="A45" s="71" t="s">
        <v>113</v>
      </c>
      <c r="B45" s="67">
        <v>622444.19999999995</v>
      </c>
      <c r="C45" s="74">
        <v>770345.13</v>
      </c>
    </row>
    <row r="46" spans="1:3" x14ac:dyDescent="0.25">
      <c r="A46" s="75"/>
      <c r="B46" s="90"/>
      <c r="C46" s="91"/>
    </row>
    <row r="47" spans="1:3" x14ac:dyDescent="0.25">
      <c r="A47" s="77" t="s">
        <v>432</v>
      </c>
      <c r="B47" s="90"/>
      <c r="C47" s="91"/>
    </row>
    <row r="48" spans="1:3" x14ac:dyDescent="0.25">
      <c r="A48" s="75" t="s">
        <v>436</v>
      </c>
      <c r="B48" s="90">
        <v>2197.5</v>
      </c>
      <c r="C48" s="91"/>
    </row>
    <row r="49" spans="1:3" x14ac:dyDescent="0.25">
      <c r="A49" s="75" t="s">
        <v>49</v>
      </c>
      <c r="B49" s="90">
        <v>11483.61</v>
      </c>
      <c r="C49" s="91"/>
    </row>
    <row r="50" spans="1:3" x14ac:dyDescent="0.25">
      <c r="A50" s="75" t="s">
        <v>200</v>
      </c>
      <c r="B50" s="90"/>
      <c r="C50" s="91">
        <v>3376.82</v>
      </c>
    </row>
    <row r="51" spans="1:3" x14ac:dyDescent="0.25">
      <c r="A51" s="75" t="s">
        <v>109</v>
      </c>
      <c r="B51" s="90">
        <v>1620</v>
      </c>
      <c r="C51" s="91"/>
    </row>
    <row r="52" spans="1:3" x14ac:dyDescent="0.25">
      <c r="A52" s="75" t="s">
        <v>437</v>
      </c>
      <c r="B52" s="90">
        <v>60965.82</v>
      </c>
      <c r="C52" s="91">
        <v>18509.37</v>
      </c>
    </row>
    <row r="53" spans="1:3" x14ac:dyDescent="0.25">
      <c r="A53" s="75"/>
      <c r="B53" s="93">
        <f>SUM(B48:B52)</f>
        <v>76266.929999999993</v>
      </c>
      <c r="C53" s="94">
        <f>SUM(C48:C52)</f>
        <v>21886.19</v>
      </c>
    </row>
    <row r="54" spans="1:3" x14ac:dyDescent="0.25">
      <c r="A54" s="77" t="s">
        <v>434</v>
      </c>
      <c r="B54" s="85"/>
      <c r="C54" s="86"/>
    </row>
    <row r="55" spans="1:3" x14ac:dyDescent="0.25">
      <c r="A55" s="72" t="s">
        <v>421</v>
      </c>
      <c r="B55" s="123" t="s">
        <v>423</v>
      </c>
      <c r="C55" s="124"/>
    </row>
    <row r="56" spans="1:3" x14ac:dyDescent="0.25">
      <c r="A56" s="72" t="s">
        <v>81</v>
      </c>
      <c r="B56" s="65" t="s">
        <v>114</v>
      </c>
      <c r="C56" s="73" t="s">
        <v>115</v>
      </c>
    </row>
    <row r="57" spans="1:3" ht="15.75" thickBot="1" x14ac:dyDescent="0.3">
      <c r="A57" s="92" t="s">
        <v>416</v>
      </c>
      <c r="B57" s="97">
        <f>+B45-B53</f>
        <v>546177.27</v>
      </c>
      <c r="C57" s="98">
        <f>+C45-C53</f>
        <v>748458.94000000006</v>
      </c>
    </row>
    <row r="58" spans="1:3" x14ac:dyDescent="0.25">
      <c r="B58" s="64"/>
      <c r="C58" s="64"/>
    </row>
    <row r="59" spans="1:3" x14ac:dyDescent="0.25">
      <c r="B59" s="64"/>
      <c r="C59" s="64"/>
    </row>
    <row r="60" spans="1:3" x14ac:dyDescent="0.25">
      <c r="B60" s="64"/>
      <c r="C60" s="64"/>
    </row>
    <row r="61" spans="1:3" x14ac:dyDescent="0.25">
      <c r="B61" s="64"/>
      <c r="C61" s="64"/>
    </row>
  </sheetData>
  <mergeCells count="9">
    <mergeCell ref="A3:C3"/>
    <mergeCell ref="A26:C26"/>
    <mergeCell ref="A41:C41"/>
    <mergeCell ref="B43:C43"/>
    <mergeCell ref="B55:C55"/>
    <mergeCell ref="B5:C5"/>
    <mergeCell ref="B20:C20"/>
    <mergeCell ref="B28:C28"/>
    <mergeCell ref="B36:C36"/>
  </mergeCells>
  <pageMargins left="0.7" right="0.7" top="0.42" bottom="0.75" header="0.3" footer="0.3"/>
  <pageSetup paperSize="9" scale="8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1D71A-80AB-4B9A-9618-0D5058AAC0FA}">
  <dimension ref="A1:D55"/>
  <sheetViews>
    <sheetView showGridLines="0" topLeftCell="A25" workbookViewId="0">
      <selection sqref="A1:D55"/>
    </sheetView>
  </sheetViews>
  <sheetFormatPr baseColWidth="10" defaultRowHeight="15" x14ac:dyDescent="0.25"/>
  <cols>
    <col min="1" max="1" width="58.7109375" bestFit="1" customWidth="1"/>
    <col min="2" max="2" width="14" bestFit="1" customWidth="1"/>
    <col min="3" max="3" width="13.85546875" bestFit="1" customWidth="1"/>
    <col min="4" max="4" width="14" customWidth="1"/>
    <col min="6" max="7" width="16.85546875" bestFit="1" customWidth="1"/>
    <col min="8" max="9" width="15.5703125" bestFit="1" customWidth="1"/>
    <col min="10" max="10" width="16.85546875" bestFit="1" customWidth="1"/>
  </cols>
  <sheetData>
    <row r="1" spans="1:4" ht="36.75" thickBot="1" x14ac:dyDescent="0.6">
      <c r="A1" s="99">
        <v>2025</v>
      </c>
    </row>
    <row r="2" spans="1:4" ht="21" x14ac:dyDescent="0.35">
      <c r="A2" s="118" t="s">
        <v>405</v>
      </c>
      <c r="B2" s="119"/>
      <c r="C2" s="119"/>
      <c r="D2" s="70"/>
    </row>
    <row r="3" spans="1:4" x14ac:dyDescent="0.25">
      <c r="A3" s="101" t="s">
        <v>433</v>
      </c>
      <c r="D3" s="102"/>
    </row>
    <row r="4" spans="1:4" x14ac:dyDescent="0.25">
      <c r="A4" s="71" t="s">
        <v>421</v>
      </c>
      <c r="B4" s="121" t="s">
        <v>423</v>
      </c>
      <c r="C4" s="121"/>
      <c r="D4" s="122"/>
    </row>
    <row r="5" spans="1:4" x14ac:dyDescent="0.25">
      <c r="A5" s="72" t="s">
        <v>81</v>
      </c>
      <c r="B5" s="65" t="s">
        <v>123</v>
      </c>
      <c r="C5" s="65" t="s">
        <v>124</v>
      </c>
      <c r="D5" s="73" t="s">
        <v>125</v>
      </c>
    </row>
    <row r="6" spans="1:4" x14ac:dyDescent="0.25">
      <c r="A6" s="72" t="s">
        <v>405</v>
      </c>
      <c r="B6" s="67">
        <v>1179063.0900000001</v>
      </c>
      <c r="C6" s="67">
        <v>768063.99</v>
      </c>
      <c r="D6" s="74">
        <v>397922.08</v>
      </c>
    </row>
    <row r="7" spans="1:4" x14ac:dyDescent="0.25">
      <c r="A7" s="75"/>
      <c r="B7" s="64"/>
      <c r="C7" s="64"/>
      <c r="D7" s="102"/>
    </row>
    <row r="8" spans="1:4" x14ac:dyDescent="0.25">
      <c r="A8" s="77" t="s">
        <v>432</v>
      </c>
      <c r="B8" s="64"/>
      <c r="C8" s="64"/>
      <c r="D8" s="102"/>
    </row>
    <row r="9" spans="1:4" x14ac:dyDescent="0.25">
      <c r="A9" s="75" t="s">
        <v>438</v>
      </c>
      <c r="B9" s="64">
        <v>3353.15</v>
      </c>
      <c r="C9" s="64">
        <v>27107.7</v>
      </c>
      <c r="D9" s="102"/>
    </row>
    <row r="10" spans="1:4" x14ac:dyDescent="0.25">
      <c r="A10" s="75" t="s">
        <v>427</v>
      </c>
      <c r="B10" s="64">
        <v>62305.24</v>
      </c>
      <c r="C10" s="64">
        <v>25122.799999999999</v>
      </c>
      <c r="D10" s="76">
        <v>21559.29</v>
      </c>
    </row>
    <row r="11" spans="1:4" x14ac:dyDescent="0.25">
      <c r="A11" s="75" t="s">
        <v>430</v>
      </c>
      <c r="B11" s="64">
        <v>79156.179999999993</v>
      </c>
      <c r="C11" s="64">
        <v>53726.91</v>
      </c>
      <c r="D11" s="76">
        <v>38586.339999999997</v>
      </c>
    </row>
    <row r="12" spans="1:4" x14ac:dyDescent="0.25">
      <c r="A12" s="75"/>
      <c r="B12" s="78">
        <f>+SUM(B9:B11)</f>
        <v>144814.57</v>
      </c>
      <c r="C12" s="78">
        <f>+SUM(C9:C11)</f>
        <v>105957.41</v>
      </c>
      <c r="D12" s="79">
        <f>+SUM(D9:D11)</f>
        <v>60145.63</v>
      </c>
    </row>
    <row r="13" spans="1:4" x14ac:dyDescent="0.25">
      <c r="A13" s="75"/>
      <c r="B13" s="64"/>
      <c r="C13" s="64"/>
      <c r="D13" s="102"/>
    </row>
    <row r="14" spans="1:4" x14ac:dyDescent="0.25">
      <c r="A14" s="77" t="s">
        <v>434</v>
      </c>
      <c r="B14" s="80"/>
      <c r="C14" s="80"/>
      <c r="D14" s="102"/>
    </row>
    <row r="15" spans="1:4" x14ac:dyDescent="0.25">
      <c r="A15" s="72" t="s">
        <v>421</v>
      </c>
      <c r="B15" s="123" t="s">
        <v>423</v>
      </c>
      <c r="C15" s="125"/>
      <c r="D15" s="124"/>
    </row>
    <row r="16" spans="1:4" x14ac:dyDescent="0.25">
      <c r="A16" s="72" t="s">
        <v>81</v>
      </c>
      <c r="B16" s="65" t="s">
        <v>123</v>
      </c>
      <c r="C16" s="65" t="s">
        <v>124</v>
      </c>
      <c r="D16" s="73" t="s">
        <v>125</v>
      </c>
    </row>
    <row r="17" spans="1:4" x14ac:dyDescent="0.25">
      <c r="A17" s="72" t="s">
        <v>405</v>
      </c>
      <c r="B17" s="100">
        <f>+B6-B12</f>
        <v>1034248.52</v>
      </c>
      <c r="C17" s="100">
        <f>+C6-C12</f>
        <v>662106.57999999996</v>
      </c>
      <c r="D17" s="103">
        <f>+D6-D12</f>
        <v>337776.45</v>
      </c>
    </row>
    <row r="18" spans="1:4" ht="15.75" thickBot="1" x14ac:dyDescent="0.3">
      <c r="A18" s="82"/>
      <c r="B18" s="83"/>
      <c r="C18" s="83"/>
      <c r="D18" s="104"/>
    </row>
    <row r="19" spans="1:4" ht="15.75" thickBot="1" x14ac:dyDescent="0.3">
      <c r="B19" s="64"/>
      <c r="C19" s="64"/>
    </row>
    <row r="20" spans="1:4" x14ac:dyDescent="0.25">
      <c r="A20" s="105"/>
      <c r="B20" s="106"/>
      <c r="C20" s="106"/>
      <c r="D20" s="70"/>
    </row>
    <row r="21" spans="1:4" ht="21" x14ac:dyDescent="0.35">
      <c r="A21" s="126" t="s">
        <v>416</v>
      </c>
      <c r="B21" s="127"/>
      <c r="C21" s="127"/>
      <c r="D21" s="102"/>
    </row>
    <row r="22" spans="1:4" x14ac:dyDescent="0.25">
      <c r="A22" s="101" t="s">
        <v>433</v>
      </c>
      <c r="B22" s="90"/>
      <c r="C22" s="90"/>
      <c r="D22" s="102"/>
    </row>
    <row r="23" spans="1:4" x14ac:dyDescent="0.25">
      <c r="A23" s="71" t="s">
        <v>421</v>
      </c>
      <c r="B23" s="121" t="s">
        <v>423</v>
      </c>
      <c r="C23" s="121"/>
      <c r="D23" s="122"/>
    </row>
    <row r="24" spans="1:4" x14ac:dyDescent="0.25">
      <c r="A24" s="72" t="s">
        <v>81</v>
      </c>
      <c r="B24" s="65" t="s">
        <v>123</v>
      </c>
      <c r="C24" s="65" t="s">
        <v>124</v>
      </c>
      <c r="D24" s="73" t="s">
        <v>125</v>
      </c>
    </row>
    <row r="25" spans="1:4" x14ac:dyDescent="0.25">
      <c r="A25" s="71" t="s">
        <v>416</v>
      </c>
      <c r="B25" s="67">
        <v>956424.59</v>
      </c>
      <c r="C25" s="67">
        <v>908274.77</v>
      </c>
      <c r="D25" s="74">
        <v>614371.24</v>
      </c>
    </row>
    <row r="26" spans="1:4" x14ac:dyDescent="0.25">
      <c r="A26" s="75"/>
      <c r="B26" s="90"/>
      <c r="C26" s="90"/>
      <c r="D26" s="102"/>
    </row>
    <row r="27" spans="1:4" x14ac:dyDescent="0.25">
      <c r="A27" s="77" t="s">
        <v>432</v>
      </c>
      <c r="B27" s="90"/>
      <c r="C27" s="90"/>
      <c r="D27" s="102"/>
    </row>
    <row r="28" spans="1:4" x14ac:dyDescent="0.25">
      <c r="A28" s="75" t="s">
        <v>435</v>
      </c>
      <c r="B28" s="90">
        <v>400027.94</v>
      </c>
      <c r="C28" s="90">
        <v>139773.10999999999</v>
      </c>
      <c r="D28" s="91">
        <v>41306.769999999997</v>
      </c>
    </row>
    <row r="29" spans="1:4" x14ac:dyDescent="0.25">
      <c r="A29" s="75" t="s">
        <v>439</v>
      </c>
      <c r="B29" s="90">
        <v>13760.54</v>
      </c>
      <c r="C29" s="90">
        <v>22481.16</v>
      </c>
      <c r="D29" s="91"/>
    </row>
    <row r="30" spans="1:4" x14ac:dyDescent="0.25">
      <c r="A30" s="75"/>
      <c r="B30" s="78">
        <f>+SUM(B27:B29)</f>
        <v>413788.48</v>
      </c>
      <c r="C30" s="78">
        <f>+SUM(C27:C29)</f>
        <v>162254.26999999999</v>
      </c>
      <c r="D30" s="102"/>
    </row>
    <row r="31" spans="1:4" x14ac:dyDescent="0.25">
      <c r="A31" s="77" t="s">
        <v>434</v>
      </c>
      <c r="B31" s="85"/>
      <c r="C31" s="85"/>
      <c r="D31" s="102"/>
    </row>
    <row r="32" spans="1:4" x14ac:dyDescent="0.25">
      <c r="A32" s="72" t="s">
        <v>421</v>
      </c>
      <c r="B32" s="123" t="s">
        <v>423</v>
      </c>
      <c r="C32" s="125"/>
      <c r="D32" s="124"/>
    </row>
    <row r="33" spans="1:4" x14ac:dyDescent="0.25">
      <c r="A33" s="72" t="s">
        <v>81</v>
      </c>
      <c r="B33" s="65" t="s">
        <v>123</v>
      </c>
      <c r="C33" s="65" t="s">
        <v>124</v>
      </c>
      <c r="D33" s="73" t="s">
        <v>125</v>
      </c>
    </row>
    <row r="34" spans="1:4" x14ac:dyDescent="0.25">
      <c r="A34" s="71" t="s">
        <v>416</v>
      </c>
      <c r="B34" s="100">
        <f>+B25-B30</f>
        <v>542636.11</v>
      </c>
      <c r="C34" s="100">
        <f>+C25-C30</f>
        <v>746020.5</v>
      </c>
      <c r="D34" s="103">
        <f>+D25-D28</f>
        <v>573064.47</v>
      </c>
    </row>
    <row r="35" spans="1:4" ht="15.75" thickBot="1" x14ac:dyDescent="0.3">
      <c r="A35" s="82"/>
      <c r="B35" s="83"/>
      <c r="C35" s="83"/>
      <c r="D35" s="104"/>
    </row>
    <row r="36" spans="1:4" ht="15.75" thickBot="1" x14ac:dyDescent="0.3">
      <c r="B36" s="64"/>
      <c r="C36" s="64"/>
    </row>
    <row r="37" spans="1:4" ht="21" x14ac:dyDescent="0.35">
      <c r="A37" s="118" t="s">
        <v>113</v>
      </c>
      <c r="B37" s="119"/>
      <c r="C37" s="119"/>
      <c r="D37" s="70"/>
    </row>
    <row r="38" spans="1:4" x14ac:dyDescent="0.25">
      <c r="A38" s="101" t="s">
        <v>433</v>
      </c>
      <c r="B38" s="90"/>
      <c r="C38" s="90"/>
      <c r="D38" s="102"/>
    </row>
    <row r="39" spans="1:4" x14ac:dyDescent="0.25">
      <c r="A39" s="71" t="s">
        <v>421</v>
      </c>
      <c r="B39" s="123" t="s">
        <v>423</v>
      </c>
      <c r="C39" s="125"/>
      <c r="D39" s="124"/>
    </row>
    <row r="40" spans="1:4" x14ac:dyDescent="0.25">
      <c r="A40" s="72" t="s">
        <v>81</v>
      </c>
      <c r="B40" s="65" t="s">
        <v>123</v>
      </c>
      <c r="C40" s="65" t="s">
        <v>124</v>
      </c>
      <c r="D40" s="73" t="s">
        <v>125</v>
      </c>
    </row>
    <row r="41" spans="1:4" x14ac:dyDescent="0.25">
      <c r="A41" s="71" t="s">
        <v>113</v>
      </c>
      <c r="B41" s="67">
        <v>758662.56</v>
      </c>
      <c r="C41" s="67">
        <v>731095.83</v>
      </c>
      <c r="D41" s="74">
        <v>675661.97</v>
      </c>
    </row>
    <row r="42" spans="1:4" x14ac:dyDescent="0.25">
      <c r="A42" s="75"/>
      <c r="B42" s="90"/>
      <c r="C42" s="90"/>
      <c r="D42" s="102"/>
    </row>
    <row r="43" spans="1:4" x14ac:dyDescent="0.25">
      <c r="A43" s="77" t="s">
        <v>432</v>
      </c>
      <c r="B43" s="90"/>
      <c r="C43" s="90"/>
      <c r="D43" s="102"/>
    </row>
    <row r="44" spans="1:4" x14ac:dyDescent="0.25">
      <c r="A44" s="75" t="s">
        <v>440</v>
      </c>
      <c r="B44" s="90">
        <v>46068.04</v>
      </c>
      <c r="C44" s="90"/>
      <c r="D44" s="102"/>
    </row>
    <row r="45" spans="1:4" x14ac:dyDescent="0.25">
      <c r="A45" s="75" t="s">
        <v>49</v>
      </c>
      <c r="B45" s="90">
        <v>15204.48</v>
      </c>
      <c r="C45" s="90">
        <v>26241.73</v>
      </c>
      <c r="D45" s="91">
        <v>11739.82</v>
      </c>
    </row>
    <row r="46" spans="1:4" x14ac:dyDescent="0.25">
      <c r="A46" s="75" t="s">
        <v>441</v>
      </c>
      <c r="B46" s="90"/>
      <c r="C46" s="90">
        <v>436.2</v>
      </c>
      <c r="D46" s="102"/>
    </row>
    <row r="47" spans="1:4" x14ac:dyDescent="0.25">
      <c r="A47" s="75" t="s">
        <v>442</v>
      </c>
      <c r="B47" s="90">
        <v>686.25</v>
      </c>
      <c r="C47" s="90">
        <v>1196.49</v>
      </c>
      <c r="D47" s="102"/>
    </row>
    <row r="48" spans="1:4" x14ac:dyDescent="0.25">
      <c r="A48" s="75" t="s">
        <v>102</v>
      </c>
      <c r="B48" s="90">
        <v>11813.36</v>
      </c>
      <c r="C48" s="90"/>
      <c r="D48" s="102"/>
    </row>
    <row r="49" spans="1:4" x14ac:dyDescent="0.25">
      <c r="A49" s="75" t="s">
        <v>437</v>
      </c>
      <c r="B49" s="90">
        <v>42854.33</v>
      </c>
      <c r="C49" s="90">
        <v>72290.38</v>
      </c>
      <c r="D49" s="91">
        <v>165254.09</v>
      </c>
    </row>
    <row r="50" spans="1:4" x14ac:dyDescent="0.25">
      <c r="A50" s="75"/>
      <c r="B50" s="93">
        <f>SUM(B44:B49)</f>
        <v>116626.46</v>
      </c>
      <c r="C50" s="93">
        <f>SUM(C44:C49)</f>
        <v>100164.8</v>
      </c>
      <c r="D50" s="94">
        <f>SUM(D44:D49)</f>
        <v>176993.91</v>
      </c>
    </row>
    <row r="51" spans="1:4" x14ac:dyDescent="0.25">
      <c r="A51" s="77" t="s">
        <v>434</v>
      </c>
      <c r="B51" s="85"/>
      <c r="C51" s="85"/>
      <c r="D51" s="102"/>
    </row>
    <row r="52" spans="1:4" x14ac:dyDescent="0.25">
      <c r="A52" s="72" t="s">
        <v>421</v>
      </c>
      <c r="B52" s="123" t="s">
        <v>423</v>
      </c>
      <c r="C52" s="125"/>
      <c r="D52" s="124"/>
    </row>
    <row r="53" spans="1:4" x14ac:dyDescent="0.25">
      <c r="A53" s="72" t="s">
        <v>81</v>
      </c>
      <c r="B53" s="65" t="s">
        <v>123</v>
      </c>
      <c r="C53" s="65" t="s">
        <v>124</v>
      </c>
      <c r="D53" s="73" t="s">
        <v>125</v>
      </c>
    </row>
    <row r="54" spans="1:4" x14ac:dyDescent="0.25">
      <c r="A54" s="71" t="s">
        <v>416</v>
      </c>
      <c r="B54" s="95">
        <f>+B41-B50</f>
        <v>642036.10000000009</v>
      </c>
      <c r="C54" s="95">
        <f>+C41-C50</f>
        <v>630931.02999999991</v>
      </c>
      <c r="D54" s="96">
        <f>+D41-D50</f>
        <v>498668.05999999994</v>
      </c>
    </row>
    <row r="55" spans="1:4" ht="15.75" thickBot="1" x14ac:dyDescent="0.3">
      <c r="A55" s="82"/>
      <c r="B55" s="107"/>
      <c r="C55" s="107"/>
      <c r="D55" s="104"/>
    </row>
  </sheetData>
  <mergeCells count="9">
    <mergeCell ref="B39:D39"/>
    <mergeCell ref="B52:D52"/>
    <mergeCell ref="A2:C2"/>
    <mergeCell ref="A21:C21"/>
    <mergeCell ref="A37:C37"/>
    <mergeCell ref="B4:D4"/>
    <mergeCell ref="B15:D15"/>
    <mergeCell ref="B23:D23"/>
    <mergeCell ref="B32:D3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E7C19-1066-40B3-9923-906084AFEFD3}">
  <dimension ref="A3:F33"/>
  <sheetViews>
    <sheetView zoomScale="68" zoomScaleNormal="68" workbookViewId="0">
      <selection activeCell="A12" sqref="A12"/>
    </sheetView>
  </sheetViews>
  <sheetFormatPr baseColWidth="10" defaultRowHeight="15" x14ac:dyDescent="0.25"/>
  <cols>
    <col min="1" max="1" width="26.28515625" bestFit="1" customWidth="1"/>
    <col min="2" max="6" width="17.85546875" customWidth="1"/>
  </cols>
  <sheetData>
    <row r="3" spans="1:6" x14ac:dyDescent="0.25">
      <c r="A3" s="16" t="s">
        <v>350</v>
      </c>
      <c r="B3" s="16" t="s">
        <v>81</v>
      </c>
      <c r="C3" s="1"/>
      <c r="D3" s="1"/>
      <c r="E3" s="1"/>
      <c r="F3" s="1"/>
    </row>
    <row r="4" spans="1:6" x14ac:dyDescent="0.25">
      <c r="A4" s="16" t="s">
        <v>7</v>
      </c>
      <c r="B4" s="1" t="s">
        <v>113</v>
      </c>
      <c r="C4" s="1" t="s">
        <v>342</v>
      </c>
      <c r="D4" s="1" t="s">
        <v>83</v>
      </c>
      <c r="E4" s="1" t="s">
        <v>343</v>
      </c>
      <c r="F4" s="1" t="s">
        <v>111</v>
      </c>
    </row>
    <row r="5" spans="1:6" x14ac:dyDescent="0.25">
      <c r="A5" s="8" t="s">
        <v>114</v>
      </c>
      <c r="B5" s="17">
        <v>439540.08</v>
      </c>
      <c r="C5" s="14">
        <v>581584.06000000006</v>
      </c>
      <c r="D5" s="14">
        <v>1064001.99</v>
      </c>
      <c r="E5" s="17">
        <v>494540.86</v>
      </c>
      <c r="F5" s="14">
        <v>2579666.9900000002</v>
      </c>
    </row>
    <row r="6" spans="1:6" x14ac:dyDescent="0.25">
      <c r="A6" s="8" t="s">
        <v>115</v>
      </c>
      <c r="B6" s="14">
        <v>550082.68000000005</v>
      </c>
      <c r="C6" s="14">
        <v>528241.89</v>
      </c>
      <c r="D6" s="14">
        <v>1877299.8</v>
      </c>
      <c r="E6" s="17">
        <v>487698.46</v>
      </c>
      <c r="F6" s="14">
        <v>3443322.83</v>
      </c>
    </row>
    <row r="7" spans="1:6" x14ac:dyDescent="0.25">
      <c r="A7" s="8" t="s">
        <v>116</v>
      </c>
      <c r="B7" s="14">
        <v>553802.6</v>
      </c>
      <c r="C7" s="14">
        <v>887878.26</v>
      </c>
      <c r="D7" s="17">
        <v>1035890.39</v>
      </c>
      <c r="E7" s="14">
        <v>778937.63</v>
      </c>
      <c r="F7" s="14">
        <v>3256508.88</v>
      </c>
    </row>
    <row r="8" spans="1:6" x14ac:dyDescent="0.25">
      <c r="A8" s="8" t="s">
        <v>117</v>
      </c>
      <c r="B8" s="14">
        <v>561735.9</v>
      </c>
      <c r="C8" s="14">
        <v>1436877.74</v>
      </c>
      <c r="D8" s="14">
        <v>1322449.48</v>
      </c>
      <c r="E8" s="14">
        <v>737232.8</v>
      </c>
      <c r="F8" s="14">
        <v>4058295.92</v>
      </c>
    </row>
    <row r="9" spans="1:6" x14ac:dyDescent="0.25">
      <c r="A9" s="8" t="s">
        <v>118</v>
      </c>
      <c r="B9" s="17">
        <v>467928.04</v>
      </c>
      <c r="C9" s="14">
        <v>1558190.81</v>
      </c>
      <c r="D9" s="14">
        <v>1548776.91</v>
      </c>
      <c r="E9" s="14">
        <v>696573.79</v>
      </c>
      <c r="F9" s="14">
        <v>4271469.55</v>
      </c>
    </row>
    <row r="10" spans="1:6" x14ac:dyDescent="0.25">
      <c r="A10" s="8" t="s">
        <v>119</v>
      </c>
      <c r="B10" s="14">
        <v>530121.32999999996</v>
      </c>
      <c r="C10" s="14">
        <v>982569.52</v>
      </c>
      <c r="D10" s="14">
        <v>1344399.77</v>
      </c>
      <c r="E10" s="14">
        <v>823436.69</v>
      </c>
      <c r="F10" s="14">
        <v>3680527.31</v>
      </c>
    </row>
    <row r="11" spans="1:6" x14ac:dyDescent="0.25">
      <c r="A11" s="8" t="s">
        <v>120</v>
      </c>
      <c r="B11" s="14">
        <v>580804.49</v>
      </c>
      <c r="C11" s="14">
        <v>1218876.27</v>
      </c>
      <c r="D11" s="14">
        <v>1220009.8999999999</v>
      </c>
      <c r="E11" s="14">
        <v>1118815.4099999999</v>
      </c>
      <c r="F11" s="14">
        <v>4138506.0700000003</v>
      </c>
    </row>
    <row r="12" spans="1:6" x14ac:dyDescent="0.25">
      <c r="A12" s="32" t="s">
        <v>121</v>
      </c>
      <c r="B12" s="14">
        <v>563635.78</v>
      </c>
      <c r="C12" s="14">
        <v>1169164.19</v>
      </c>
      <c r="D12" s="14">
        <v>1258690.3799999999</v>
      </c>
      <c r="E12" s="14">
        <v>1105635.7</v>
      </c>
      <c r="F12" s="14">
        <v>4097126.05</v>
      </c>
    </row>
    <row r="13" spans="1:6" x14ac:dyDescent="0.25">
      <c r="A13" s="8" t="s">
        <v>122</v>
      </c>
      <c r="B13" s="14">
        <v>548585.11</v>
      </c>
      <c r="C13" s="17">
        <v>949706.26</v>
      </c>
      <c r="D13" s="14">
        <v>1306141.6000000001</v>
      </c>
      <c r="E13" s="14">
        <v>800137.88</v>
      </c>
      <c r="F13" s="14">
        <v>3604570.85</v>
      </c>
    </row>
    <row r="14" spans="1:6" x14ac:dyDescent="0.25">
      <c r="A14" s="8" t="s">
        <v>123</v>
      </c>
      <c r="B14" s="14">
        <v>655994.05000000005</v>
      </c>
      <c r="C14" s="14">
        <v>1265005.74</v>
      </c>
      <c r="D14" s="14">
        <v>1827019.99</v>
      </c>
      <c r="E14" s="17">
        <v>382986.05</v>
      </c>
      <c r="F14" s="14">
        <v>4131005.83</v>
      </c>
    </row>
    <row r="15" spans="1:6" x14ac:dyDescent="0.25">
      <c r="A15" s="8" t="s">
        <v>124</v>
      </c>
      <c r="B15" s="14">
        <v>593813.28</v>
      </c>
      <c r="C15" s="14">
        <v>1232407.54</v>
      </c>
      <c r="D15" s="14">
        <v>1606493.21</v>
      </c>
      <c r="E15" s="14">
        <v>517098.34</v>
      </c>
      <c r="F15" s="14">
        <v>3949812.37</v>
      </c>
    </row>
    <row r="16" spans="1:6" x14ac:dyDescent="0.25">
      <c r="A16" s="8" t="s">
        <v>125</v>
      </c>
      <c r="B16" s="14">
        <v>525928.78</v>
      </c>
      <c r="C16" s="17">
        <v>911669.06</v>
      </c>
      <c r="D16" s="17">
        <v>1073107.8500000001</v>
      </c>
      <c r="E16" s="17">
        <v>477987.13</v>
      </c>
      <c r="F16" s="14">
        <v>2988692.8200000003</v>
      </c>
    </row>
    <row r="17" spans="1:6" x14ac:dyDescent="0.25">
      <c r="A17" s="8" t="s">
        <v>111</v>
      </c>
      <c r="B17" s="14">
        <v>6571972.120000001</v>
      </c>
      <c r="C17" s="14">
        <v>12722171.339999998</v>
      </c>
      <c r="D17" s="14">
        <v>16484281.270000001</v>
      </c>
      <c r="E17" s="14">
        <v>8421080.7400000002</v>
      </c>
      <c r="F17" s="14">
        <v>44199505.469999999</v>
      </c>
    </row>
    <row r="19" spans="1:6" x14ac:dyDescent="0.25">
      <c r="A19" s="16" t="s">
        <v>349</v>
      </c>
      <c r="B19" s="16" t="s">
        <v>81</v>
      </c>
      <c r="C19" s="1"/>
      <c r="D19" s="1"/>
      <c r="E19" s="1"/>
      <c r="F19" s="1"/>
    </row>
    <row r="20" spans="1:6" x14ac:dyDescent="0.25">
      <c r="A20" s="16" t="s">
        <v>7</v>
      </c>
      <c r="B20" s="1" t="s">
        <v>113</v>
      </c>
      <c r="C20" s="1" t="s">
        <v>342</v>
      </c>
      <c r="D20" s="1" t="s">
        <v>83</v>
      </c>
      <c r="E20" s="1" t="s">
        <v>343</v>
      </c>
      <c r="F20" s="1" t="s">
        <v>111</v>
      </c>
    </row>
    <row r="21" spans="1:6" x14ac:dyDescent="0.25">
      <c r="A21" s="8" t="s">
        <v>114</v>
      </c>
      <c r="B21" s="29">
        <v>12001.47</v>
      </c>
      <c r="C21">
        <v>0</v>
      </c>
      <c r="D21">
        <v>20573.599999999999</v>
      </c>
      <c r="E21">
        <v>13367.82</v>
      </c>
      <c r="F21">
        <v>45942.89</v>
      </c>
    </row>
    <row r="22" spans="1:6" x14ac:dyDescent="0.25">
      <c r="A22" s="8" t="s">
        <v>115</v>
      </c>
      <c r="B22">
        <v>15670.28</v>
      </c>
      <c r="C22">
        <v>11886.59</v>
      </c>
      <c r="D22">
        <v>35798.43</v>
      </c>
      <c r="E22" s="29">
        <v>9816.74</v>
      </c>
      <c r="F22">
        <v>73172.040000000008</v>
      </c>
    </row>
    <row r="23" spans="1:6" x14ac:dyDescent="0.25">
      <c r="A23" s="8" t="s">
        <v>116</v>
      </c>
      <c r="B23">
        <v>17184.68</v>
      </c>
      <c r="C23">
        <v>22332.92</v>
      </c>
      <c r="D23" s="29">
        <v>21612.87</v>
      </c>
      <c r="E23">
        <v>16121.28</v>
      </c>
      <c r="F23">
        <v>77251.75</v>
      </c>
    </row>
    <row r="24" spans="1:6" x14ac:dyDescent="0.25">
      <c r="A24" s="8" t="s">
        <v>117</v>
      </c>
      <c r="B24" s="1">
        <v>20315.509999999998</v>
      </c>
      <c r="C24">
        <v>26459.21</v>
      </c>
      <c r="D24">
        <v>27544.400000000001</v>
      </c>
      <c r="E24">
        <v>13336.39</v>
      </c>
      <c r="F24">
        <v>87655.51</v>
      </c>
    </row>
    <row r="25" spans="1:6" x14ac:dyDescent="0.25">
      <c r="A25" s="8" t="s">
        <v>118</v>
      </c>
      <c r="B25">
        <v>13845.45</v>
      </c>
      <c r="C25">
        <v>30308.09</v>
      </c>
      <c r="D25">
        <v>37310.93</v>
      </c>
      <c r="E25">
        <v>15336.59</v>
      </c>
      <c r="F25">
        <v>96801.06</v>
      </c>
    </row>
    <row r="26" spans="1:6" x14ac:dyDescent="0.25">
      <c r="A26" s="8" t="s">
        <v>119</v>
      </c>
      <c r="B26">
        <v>17442.29</v>
      </c>
      <c r="C26" s="29">
        <v>15750.06</v>
      </c>
      <c r="D26">
        <v>32858.22</v>
      </c>
      <c r="E26">
        <v>18434.72</v>
      </c>
      <c r="F26">
        <v>84485.290000000008</v>
      </c>
    </row>
    <row r="27" spans="1:6" x14ac:dyDescent="0.25">
      <c r="A27" s="8" t="s">
        <v>120</v>
      </c>
      <c r="B27">
        <v>17351.080000000002</v>
      </c>
      <c r="C27">
        <v>17168.189999999999</v>
      </c>
      <c r="D27">
        <v>37091.15</v>
      </c>
      <c r="E27">
        <v>21902.33</v>
      </c>
      <c r="F27">
        <v>93512.750000000015</v>
      </c>
    </row>
    <row r="28" spans="1:6" x14ac:dyDescent="0.25">
      <c r="A28" s="8" t="s">
        <v>121</v>
      </c>
      <c r="B28" s="1">
        <v>19969.310000000001</v>
      </c>
      <c r="C28">
        <v>19484.79</v>
      </c>
      <c r="D28">
        <v>28867.01</v>
      </c>
      <c r="E28">
        <v>20430.32</v>
      </c>
      <c r="F28">
        <v>88751.43</v>
      </c>
    </row>
    <row r="29" spans="1:6" x14ac:dyDescent="0.25">
      <c r="A29" s="8" t="s">
        <v>122</v>
      </c>
      <c r="B29">
        <v>17686.23</v>
      </c>
      <c r="C29">
        <v>18931.150000000001</v>
      </c>
      <c r="D29">
        <v>24303.52</v>
      </c>
      <c r="E29">
        <v>15455.26</v>
      </c>
      <c r="F29">
        <v>76376.160000000003</v>
      </c>
    </row>
    <row r="30" spans="1:6" x14ac:dyDescent="0.25">
      <c r="A30" s="8" t="s">
        <v>123</v>
      </c>
      <c r="B30">
        <v>17722.189999999999</v>
      </c>
      <c r="C30">
        <v>30226.799999999999</v>
      </c>
      <c r="D30">
        <v>29726.2</v>
      </c>
      <c r="E30" s="29">
        <v>7871.02</v>
      </c>
      <c r="F30">
        <v>85546.21</v>
      </c>
    </row>
    <row r="31" spans="1:6" x14ac:dyDescent="0.25">
      <c r="A31" s="8" t="s">
        <v>124</v>
      </c>
      <c r="B31">
        <v>14137.79</v>
      </c>
      <c r="C31">
        <v>28480.46</v>
      </c>
      <c r="D31">
        <v>28164.94</v>
      </c>
      <c r="E31">
        <v>10892.12</v>
      </c>
      <c r="F31">
        <v>81675.31</v>
      </c>
    </row>
    <row r="32" spans="1:6" x14ac:dyDescent="0.25">
      <c r="A32" s="8" t="s">
        <v>125</v>
      </c>
      <c r="B32">
        <v>14715.57</v>
      </c>
      <c r="C32">
        <v>20725.95</v>
      </c>
      <c r="D32" s="29">
        <v>19185.900000000001</v>
      </c>
      <c r="E32" s="29">
        <v>9718.93</v>
      </c>
      <c r="F32">
        <v>64346.350000000006</v>
      </c>
    </row>
    <row r="33" spans="1:6" x14ac:dyDescent="0.25">
      <c r="A33" s="8" t="s">
        <v>111</v>
      </c>
      <c r="B33">
        <v>198041.85000000003</v>
      </c>
      <c r="C33">
        <v>241754.21</v>
      </c>
      <c r="D33">
        <v>343037.17000000004</v>
      </c>
      <c r="E33">
        <v>172683.51999999999</v>
      </c>
      <c r="F33">
        <v>955516.74999999988</v>
      </c>
    </row>
  </sheetData>
  <conditionalFormatting pivot="1" sqref="B5:E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{AC7FE081-C472-4D33-ACBC-ABB2BD571A13}</x14:id>
        </ext>
      </extLst>
    </cfRule>
  </conditionalFormatting>
  <conditionalFormatting pivot="1" sqref="B21:E3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{60E7F1CB-959B-419D-8310-82CCAE0BE5D0}</x14:id>
        </ext>
      </extLst>
    </cfRule>
  </conditionalFormatting>
  <pageMargins left="0.7" right="0.7" top="0.75" bottom="0.75" header="0.3" footer="0.3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AC7FE081-C472-4D33-ACBC-ABB2BD571A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B5:E16</xm:sqref>
        </x14:conditionalFormatting>
        <x14:conditionalFormatting xmlns:xm="http://schemas.microsoft.com/office/excel/2006/main" pivot="1">
          <x14:cfRule type="dataBar" id="{60E7F1CB-959B-419D-8310-82CCAE0BE5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B21:E32</xm:sqref>
        </x14:conditionalFormatting>
      </x14:conditionalFormattings>
    </ex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E6149-8715-430E-9EF7-1B78DE7A4F8F}">
  <dimension ref="A3:D9"/>
  <sheetViews>
    <sheetView workbookViewId="0">
      <selection activeCell="E15" sqref="E15"/>
    </sheetView>
  </sheetViews>
  <sheetFormatPr baseColWidth="10" defaultRowHeight="15" x14ac:dyDescent="0.25"/>
  <cols>
    <col min="1" max="1" width="15.7109375" bestFit="1" customWidth="1"/>
    <col min="2" max="5" width="15.42578125" bestFit="1" customWidth="1"/>
    <col min="6" max="10" width="12" bestFit="1" customWidth="1"/>
  </cols>
  <sheetData>
    <row r="3" spans="1:4" ht="30" customHeight="1" x14ac:dyDescent="0.25">
      <c r="A3" s="18" t="s">
        <v>351</v>
      </c>
      <c r="B3" s="18" t="s">
        <v>352</v>
      </c>
      <c r="C3" s="19"/>
      <c r="D3" s="19"/>
    </row>
    <row r="4" spans="1:4" x14ac:dyDescent="0.25">
      <c r="A4" s="18" t="s">
        <v>110</v>
      </c>
      <c r="B4" s="19">
        <v>2024</v>
      </c>
      <c r="C4" s="19">
        <v>2025</v>
      </c>
      <c r="D4" s="19" t="s">
        <v>111</v>
      </c>
    </row>
    <row r="5" spans="1:4" x14ac:dyDescent="0.25">
      <c r="A5" s="20" t="s">
        <v>137</v>
      </c>
      <c r="B5" s="21">
        <v>7454720.2154700039</v>
      </c>
      <c r="C5" s="21">
        <v>2644292.7077499996</v>
      </c>
      <c r="D5" s="21">
        <v>10099012.923220003</v>
      </c>
    </row>
    <row r="6" spans="1:4" x14ac:dyDescent="0.25">
      <c r="A6" s="20" t="s">
        <v>135</v>
      </c>
      <c r="B6" s="21">
        <v>12741438.670199998</v>
      </c>
      <c r="C6" s="21">
        <v>3414994.0973300003</v>
      </c>
      <c r="D6" s="21">
        <v>16156432.767529998</v>
      </c>
    </row>
    <row r="7" spans="1:4" x14ac:dyDescent="0.25">
      <c r="A7" s="20" t="s">
        <v>132</v>
      </c>
      <c r="B7" s="21">
        <v>16560818.491430001</v>
      </c>
      <c r="C7" s="21">
        <v>5493339.0019099992</v>
      </c>
      <c r="D7" s="21">
        <v>22054157.493340001</v>
      </c>
    </row>
    <row r="8" spans="1:4" x14ac:dyDescent="0.25">
      <c r="A8" s="20" t="s">
        <v>406</v>
      </c>
      <c r="B8" s="21">
        <v>8415197.193450002</v>
      </c>
      <c r="C8" s="21">
        <v>3121268.0679900004</v>
      </c>
      <c r="D8" s="21">
        <v>11536465.261440001</v>
      </c>
    </row>
    <row r="9" spans="1:4" x14ac:dyDescent="0.25">
      <c r="A9" s="20" t="s">
        <v>111</v>
      </c>
      <c r="B9" s="21">
        <v>45172174.57055001</v>
      </c>
      <c r="C9" s="21">
        <v>14673893.874979999</v>
      </c>
      <c r="D9" s="21">
        <v>59846068.445530005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AB484-9D87-489F-AD6D-4B0B1CB610EB}">
  <dimension ref="A1:D49"/>
  <sheetViews>
    <sheetView workbookViewId="0">
      <selection activeCell="G10" sqref="G10"/>
    </sheetView>
  </sheetViews>
  <sheetFormatPr baseColWidth="10" defaultRowHeight="15" x14ac:dyDescent="0.25"/>
  <cols>
    <col min="1" max="1" width="20.5703125" bestFit="1" customWidth="1"/>
    <col min="3" max="3" width="15" bestFit="1" customWidth="1"/>
    <col min="4" max="4" width="15.5703125" bestFit="1" customWidth="1"/>
  </cols>
  <sheetData>
    <row r="1" spans="1:4" x14ac:dyDescent="0.25">
      <c r="A1" t="s">
        <v>81</v>
      </c>
      <c r="B1" t="s">
        <v>7</v>
      </c>
      <c r="C1" t="s">
        <v>341</v>
      </c>
      <c r="D1" t="s">
        <v>348</v>
      </c>
    </row>
    <row r="2" spans="1:4" x14ac:dyDescent="0.25">
      <c r="A2" t="s">
        <v>113</v>
      </c>
      <c r="B2" t="s">
        <v>114</v>
      </c>
      <c r="C2" s="14">
        <v>439540.08</v>
      </c>
      <c r="D2">
        <v>12001.47</v>
      </c>
    </row>
    <row r="3" spans="1:4" x14ac:dyDescent="0.25">
      <c r="A3" t="s">
        <v>113</v>
      </c>
      <c r="B3" t="s">
        <v>115</v>
      </c>
      <c r="C3" s="14">
        <v>550082.68000000005</v>
      </c>
      <c r="D3">
        <v>15670.28</v>
      </c>
    </row>
    <row r="4" spans="1:4" x14ac:dyDescent="0.25">
      <c r="A4" t="s">
        <v>113</v>
      </c>
      <c r="B4" t="s">
        <v>116</v>
      </c>
      <c r="C4" s="14">
        <v>553802.6</v>
      </c>
      <c r="D4">
        <v>17184.68</v>
      </c>
    </row>
    <row r="5" spans="1:4" x14ac:dyDescent="0.25">
      <c r="A5" t="s">
        <v>113</v>
      </c>
      <c r="B5" t="s">
        <v>117</v>
      </c>
      <c r="C5" s="14">
        <v>561735.9</v>
      </c>
      <c r="D5">
        <v>20315.509999999998</v>
      </c>
    </row>
    <row r="6" spans="1:4" x14ac:dyDescent="0.25">
      <c r="A6" t="s">
        <v>113</v>
      </c>
      <c r="B6" t="s">
        <v>118</v>
      </c>
      <c r="C6" s="14">
        <v>467928.04</v>
      </c>
      <c r="D6">
        <v>13845.45</v>
      </c>
    </row>
    <row r="7" spans="1:4" x14ac:dyDescent="0.25">
      <c r="A7" t="s">
        <v>113</v>
      </c>
      <c r="B7" t="s">
        <v>119</v>
      </c>
      <c r="C7" s="14">
        <v>530121.32999999996</v>
      </c>
      <c r="D7">
        <v>17442.29</v>
      </c>
    </row>
    <row r="8" spans="1:4" x14ac:dyDescent="0.25">
      <c r="A8" t="s">
        <v>113</v>
      </c>
      <c r="B8" t="s">
        <v>120</v>
      </c>
      <c r="C8" s="14">
        <v>580804.49</v>
      </c>
      <c r="D8">
        <v>17351.080000000002</v>
      </c>
    </row>
    <row r="9" spans="1:4" x14ac:dyDescent="0.25">
      <c r="A9" t="s">
        <v>113</v>
      </c>
      <c r="B9" t="s">
        <v>121</v>
      </c>
      <c r="C9" s="14">
        <v>563635.78</v>
      </c>
      <c r="D9">
        <v>19969.310000000001</v>
      </c>
    </row>
    <row r="10" spans="1:4" x14ac:dyDescent="0.25">
      <c r="A10" t="s">
        <v>113</v>
      </c>
      <c r="B10" t="s">
        <v>122</v>
      </c>
      <c r="C10" s="14">
        <v>548585.11</v>
      </c>
      <c r="D10">
        <v>17686.23</v>
      </c>
    </row>
    <row r="11" spans="1:4" x14ac:dyDescent="0.25">
      <c r="A11" t="s">
        <v>113</v>
      </c>
      <c r="B11" t="s">
        <v>123</v>
      </c>
      <c r="C11" s="14">
        <v>655994.05000000005</v>
      </c>
      <c r="D11">
        <v>17722.189999999999</v>
      </c>
    </row>
    <row r="12" spans="1:4" x14ac:dyDescent="0.25">
      <c r="A12" t="s">
        <v>113</v>
      </c>
      <c r="B12" t="s">
        <v>124</v>
      </c>
      <c r="C12" s="14">
        <v>593813.28</v>
      </c>
      <c r="D12">
        <v>14137.79</v>
      </c>
    </row>
    <row r="13" spans="1:4" x14ac:dyDescent="0.25">
      <c r="A13" t="s">
        <v>113</v>
      </c>
      <c r="B13" t="s">
        <v>125</v>
      </c>
      <c r="C13" s="14">
        <v>525928.78</v>
      </c>
      <c r="D13">
        <v>14715.57</v>
      </c>
    </row>
    <row r="14" spans="1:4" x14ac:dyDescent="0.25">
      <c r="A14" t="s">
        <v>83</v>
      </c>
      <c r="B14" t="s">
        <v>114</v>
      </c>
      <c r="C14" s="14">
        <v>1064001.99</v>
      </c>
      <c r="D14">
        <v>20573.599999999999</v>
      </c>
    </row>
    <row r="15" spans="1:4" x14ac:dyDescent="0.25">
      <c r="A15" t="s">
        <v>83</v>
      </c>
      <c r="B15" t="s">
        <v>115</v>
      </c>
      <c r="C15" s="14">
        <v>1877299.8</v>
      </c>
      <c r="D15">
        <v>35798.43</v>
      </c>
    </row>
    <row r="16" spans="1:4" x14ac:dyDescent="0.25">
      <c r="A16" t="s">
        <v>83</v>
      </c>
      <c r="B16" t="s">
        <v>116</v>
      </c>
      <c r="C16" s="14">
        <v>1035890.39</v>
      </c>
      <c r="D16">
        <v>21612.87</v>
      </c>
    </row>
    <row r="17" spans="1:4" x14ac:dyDescent="0.25">
      <c r="A17" t="s">
        <v>83</v>
      </c>
      <c r="B17" t="s">
        <v>117</v>
      </c>
      <c r="C17" s="14">
        <v>1322449.48</v>
      </c>
      <c r="D17">
        <v>27544.400000000001</v>
      </c>
    </row>
    <row r="18" spans="1:4" x14ac:dyDescent="0.25">
      <c r="A18" t="s">
        <v>83</v>
      </c>
      <c r="B18" t="s">
        <v>118</v>
      </c>
      <c r="C18" s="14">
        <v>1548776.91</v>
      </c>
      <c r="D18">
        <v>37310.93</v>
      </c>
    </row>
    <row r="19" spans="1:4" x14ac:dyDescent="0.25">
      <c r="A19" t="s">
        <v>83</v>
      </c>
      <c r="B19" t="s">
        <v>119</v>
      </c>
      <c r="C19" s="14">
        <v>1344399.77</v>
      </c>
      <c r="D19">
        <v>32858.22</v>
      </c>
    </row>
    <row r="20" spans="1:4" x14ac:dyDescent="0.25">
      <c r="A20" t="s">
        <v>83</v>
      </c>
      <c r="B20" t="s">
        <v>120</v>
      </c>
      <c r="C20" s="14">
        <v>1220009.8999999999</v>
      </c>
      <c r="D20">
        <v>37091.15</v>
      </c>
    </row>
    <row r="21" spans="1:4" x14ac:dyDescent="0.25">
      <c r="A21" t="s">
        <v>83</v>
      </c>
      <c r="B21" t="s">
        <v>121</v>
      </c>
      <c r="C21" s="14">
        <v>1258690.3799999999</v>
      </c>
      <c r="D21">
        <v>28867.01</v>
      </c>
    </row>
    <row r="22" spans="1:4" x14ac:dyDescent="0.25">
      <c r="A22" t="s">
        <v>83</v>
      </c>
      <c r="B22" t="s">
        <v>122</v>
      </c>
      <c r="C22" s="14">
        <v>1306141.6000000001</v>
      </c>
      <c r="D22">
        <v>24303.52</v>
      </c>
    </row>
    <row r="23" spans="1:4" x14ac:dyDescent="0.25">
      <c r="A23" t="s">
        <v>83</v>
      </c>
      <c r="B23" t="s">
        <v>123</v>
      </c>
      <c r="C23" s="14">
        <v>1827019.99</v>
      </c>
      <c r="D23">
        <v>29726.2</v>
      </c>
    </row>
    <row r="24" spans="1:4" x14ac:dyDescent="0.25">
      <c r="A24" t="s">
        <v>83</v>
      </c>
      <c r="B24" t="s">
        <v>124</v>
      </c>
      <c r="C24" s="14">
        <v>1606493.21</v>
      </c>
      <c r="D24">
        <v>28164.94</v>
      </c>
    </row>
    <row r="25" spans="1:4" x14ac:dyDescent="0.25">
      <c r="A25" t="s">
        <v>83</v>
      </c>
      <c r="B25" t="s">
        <v>125</v>
      </c>
      <c r="C25" s="14">
        <v>1073107.8500000001</v>
      </c>
      <c r="D25">
        <v>19185.900000000001</v>
      </c>
    </row>
    <row r="26" spans="1:4" x14ac:dyDescent="0.25">
      <c r="A26" t="s">
        <v>342</v>
      </c>
      <c r="B26" t="s">
        <v>114</v>
      </c>
      <c r="C26" s="14">
        <v>581584.06000000006</v>
      </c>
      <c r="D26">
        <v>0</v>
      </c>
    </row>
    <row r="27" spans="1:4" x14ac:dyDescent="0.25">
      <c r="A27" t="s">
        <v>342</v>
      </c>
      <c r="B27" t="s">
        <v>115</v>
      </c>
      <c r="C27" s="14">
        <v>528241.89</v>
      </c>
      <c r="D27">
        <v>11886.59</v>
      </c>
    </row>
    <row r="28" spans="1:4" x14ac:dyDescent="0.25">
      <c r="A28" t="s">
        <v>342</v>
      </c>
      <c r="B28" t="s">
        <v>116</v>
      </c>
      <c r="C28" s="14">
        <v>887878.26</v>
      </c>
      <c r="D28">
        <v>22332.92</v>
      </c>
    </row>
    <row r="29" spans="1:4" x14ac:dyDescent="0.25">
      <c r="A29" t="s">
        <v>342</v>
      </c>
      <c r="B29" t="s">
        <v>117</v>
      </c>
      <c r="C29" s="14">
        <v>1436877.74</v>
      </c>
      <c r="D29">
        <v>26459.21</v>
      </c>
    </row>
    <row r="30" spans="1:4" x14ac:dyDescent="0.25">
      <c r="A30" t="s">
        <v>342</v>
      </c>
      <c r="B30" t="s">
        <v>118</v>
      </c>
      <c r="C30" s="14">
        <v>1558190.81</v>
      </c>
      <c r="D30">
        <v>30308.09</v>
      </c>
    </row>
    <row r="31" spans="1:4" x14ac:dyDescent="0.25">
      <c r="A31" t="s">
        <v>342</v>
      </c>
      <c r="B31" t="s">
        <v>119</v>
      </c>
      <c r="C31" s="14">
        <v>982569.52</v>
      </c>
      <c r="D31">
        <v>15750.06</v>
      </c>
    </row>
    <row r="32" spans="1:4" x14ac:dyDescent="0.25">
      <c r="A32" t="s">
        <v>342</v>
      </c>
      <c r="B32" t="s">
        <v>120</v>
      </c>
      <c r="C32" s="14">
        <v>1218876.27</v>
      </c>
      <c r="D32">
        <v>17168.189999999999</v>
      </c>
    </row>
    <row r="33" spans="1:4" x14ac:dyDescent="0.25">
      <c r="A33" t="s">
        <v>342</v>
      </c>
      <c r="B33" t="s">
        <v>121</v>
      </c>
      <c r="C33" s="14">
        <v>1169164.19</v>
      </c>
      <c r="D33">
        <v>19484.79</v>
      </c>
    </row>
    <row r="34" spans="1:4" x14ac:dyDescent="0.25">
      <c r="A34" t="s">
        <v>342</v>
      </c>
      <c r="B34" t="s">
        <v>122</v>
      </c>
      <c r="C34" s="14">
        <v>949706.26</v>
      </c>
      <c r="D34">
        <v>18931.150000000001</v>
      </c>
    </row>
    <row r="35" spans="1:4" x14ac:dyDescent="0.25">
      <c r="A35" t="s">
        <v>342</v>
      </c>
      <c r="B35" t="s">
        <v>123</v>
      </c>
      <c r="C35" s="14">
        <v>1265005.74</v>
      </c>
      <c r="D35">
        <v>30226.799999999999</v>
      </c>
    </row>
    <row r="36" spans="1:4" x14ac:dyDescent="0.25">
      <c r="A36" t="s">
        <v>342</v>
      </c>
      <c r="B36" t="s">
        <v>124</v>
      </c>
      <c r="C36" s="14">
        <v>1232407.54</v>
      </c>
      <c r="D36">
        <v>28480.46</v>
      </c>
    </row>
    <row r="37" spans="1:4" x14ac:dyDescent="0.25">
      <c r="A37" t="s">
        <v>342</v>
      </c>
      <c r="B37" t="s">
        <v>125</v>
      </c>
      <c r="C37" s="14">
        <v>911669.06</v>
      </c>
      <c r="D37">
        <v>20725.95</v>
      </c>
    </row>
    <row r="38" spans="1:4" x14ac:dyDescent="0.25">
      <c r="A38" t="s">
        <v>343</v>
      </c>
      <c r="B38" t="s">
        <v>114</v>
      </c>
      <c r="C38" s="14">
        <v>494540.86</v>
      </c>
      <c r="D38">
        <v>13367.82</v>
      </c>
    </row>
    <row r="39" spans="1:4" x14ac:dyDescent="0.25">
      <c r="A39" t="s">
        <v>343</v>
      </c>
      <c r="B39" t="s">
        <v>115</v>
      </c>
      <c r="C39" s="14">
        <v>487698.46</v>
      </c>
      <c r="D39">
        <v>9816.74</v>
      </c>
    </row>
    <row r="40" spans="1:4" x14ac:dyDescent="0.25">
      <c r="A40" t="s">
        <v>343</v>
      </c>
      <c r="B40" t="s">
        <v>116</v>
      </c>
      <c r="C40" s="14">
        <v>778937.63</v>
      </c>
      <c r="D40">
        <v>16121.28</v>
      </c>
    </row>
    <row r="41" spans="1:4" x14ac:dyDescent="0.25">
      <c r="A41" t="s">
        <v>343</v>
      </c>
      <c r="B41" t="s">
        <v>117</v>
      </c>
      <c r="C41" s="14">
        <v>737232.8</v>
      </c>
      <c r="D41">
        <v>13336.39</v>
      </c>
    </row>
    <row r="42" spans="1:4" x14ac:dyDescent="0.25">
      <c r="A42" t="s">
        <v>343</v>
      </c>
      <c r="B42" t="s">
        <v>118</v>
      </c>
      <c r="C42" s="14">
        <v>696573.79</v>
      </c>
      <c r="D42">
        <v>15336.59</v>
      </c>
    </row>
    <row r="43" spans="1:4" x14ac:dyDescent="0.25">
      <c r="A43" t="s">
        <v>343</v>
      </c>
      <c r="B43" t="s">
        <v>119</v>
      </c>
      <c r="C43" s="14">
        <v>823436.69</v>
      </c>
      <c r="D43">
        <v>18434.72</v>
      </c>
    </row>
    <row r="44" spans="1:4" x14ac:dyDescent="0.25">
      <c r="A44" t="s">
        <v>343</v>
      </c>
      <c r="B44" t="s">
        <v>120</v>
      </c>
      <c r="C44" s="14">
        <v>1118815.4099999999</v>
      </c>
      <c r="D44">
        <v>21902.33</v>
      </c>
    </row>
    <row r="45" spans="1:4" x14ac:dyDescent="0.25">
      <c r="A45" t="s">
        <v>343</v>
      </c>
      <c r="B45" t="s">
        <v>121</v>
      </c>
      <c r="C45" s="14">
        <v>1105635.7</v>
      </c>
      <c r="D45">
        <v>20430.32</v>
      </c>
    </row>
    <row r="46" spans="1:4" x14ac:dyDescent="0.25">
      <c r="A46" t="s">
        <v>343</v>
      </c>
      <c r="B46" t="s">
        <v>122</v>
      </c>
      <c r="C46" s="14">
        <v>800137.88</v>
      </c>
      <c r="D46">
        <v>15455.26</v>
      </c>
    </row>
    <row r="47" spans="1:4" x14ac:dyDescent="0.25">
      <c r="A47" t="s">
        <v>343</v>
      </c>
      <c r="B47" t="s">
        <v>123</v>
      </c>
      <c r="C47" s="14">
        <v>382986.05</v>
      </c>
      <c r="D47">
        <v>7871.02</v>
      </c>
    </row>
    <row r="48" spans="1:4" x14ac:dyDescent="0.25">
      <c r="A48" t="s">
        <v>343</v>
      </c>
      <c r="B48" t="s">
        <v>124</v>
      </c>
      <c r="C48" s="14">
        <v>517098.34</v>
      </c>
      <c r="D48">
        <v>10892.12</v>
      </c>
    </row>
    <row r="49" spans="1:4" x14ac:dyDescent="0.25">
      <c r="A49" t="s">
        <v>343</v>
      </c>
      <c r="B49" t="s">
        <v>125</v>
      </c>
      <c r="C49" s="14">
        <v>477987.13</v>
      </c>
      <c r="D49">
        <v>9718.93</v>
      </c>
    </row>
  </sheetData>
  <autoFilter ref="A1:D49" xr:uid="{4FEAB484-9D87-489F-AD6D-4B0B1CB610EB}"/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3859D-A111-40B7-A023-DC2021BF2C19}">
  <dimension ref="A1:F2391"/>
  <sheetViews>
    <sheetView workbookViewId="0">
      <selection sqref="A1:F516"/>
    </sheetView>
  </sheetViews>
  <sheetFormatPr baseColWidth="10" defaultRowHeight="15" x14ac:dyDescent="0.25"/>
  <cols>
    <col min="1" max="1" width="14.42578125" bestFit="1" customWidth="1"/>
    <col min="3" max="3" width="26.85546875" customWidth="1"/>
    <col min="4" max="4" width="12" bestFit="1" customWidth="1"/>
  </cols>
  <sheetData>
    <row r="1" spans="1:6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82</v>
      </c>
    </row>
    <row r="2" spans="1:6" x14ac:dyDescent="0.25">
      <c r="A2">
        <v>20609680378</v>
      </c>
      <c r="B2">
        <v>2024</v>
      </c>
      <c r="C2" t="s">
        <v>131</v>
      </c>
      <c r="D2">
        <v>20609680378</v>
      </c>
      <c r="E2" t="s">
        <v>132</v>
      </c>
      <c r="F2">
        <v>4357.1779999999999</v>
      </c>
    </row>
    <row r="3" spans="1:6" x14ac:dyDescent="0.25">
      <c r="A3">
        <v>20609680378</v>
      </c>
      <c r="B3">
        <v>2025</v>
      </c>
      <c r="C3" t="s">
        <v>131</v>
      </c>
      <c r="D3">
        <v>20609680378</v>
      </c>
      <c r="E3" t="s">
        <v>132</v>
      </c>
      <c r="F3">
        <v>10488.62016</v>
      </c>
    </row>
    <row r="4" spans="1:6" x14ac:dyDescent="0.25">
      <c r="A4">
        <v>20513176</v>
      </c>
      <c r="B4">
        <v>2024</v>
      </c>
      <c r="C4" t="s">
        <v>133</v>
      </c>
      <c r="D4">
        <v>20513176962</v>
      </c>
      <c r="E4" t="s">
        <v>406</v>
      </c>
      <c r="F4">
        <v>11404.86967</v>
      </c>
    </row>
    <row r="5" spans="1:6" x14ac:dyDescent="0.25">
      <c r="A5">
        <v>20538433790</v>
      </c>
      <c r="B5">
        <v>2024</v>
      </c>
      <c r="C5" t="s">
        <v>134</v>
      </c>
      <c r="D5">
        <v>20538433790</v>
      </c>
      <c r="E5" t="s">
        <v>135</v>
      </c>
      <c r="F5">
        <v>11234.91894</v>
      </c>
    </row>
    <row r="6" spans="1:6" x14ac:dyDescent="0.25">
      <c r="A6">
        <v>9410125</v>
      </c>
      <c r="B6">
        <v>2024</v>
      </c>
      <c r="C6" t="s">
        <v>136</v>
      </c>
      <c r="D6">
        <v>9410125</v>
      </c>
      <c r="E6" t="s">
        <v>137</v>
      </c>
      <c r="F6">
        <v>3016.5119</v>
      </c>
    </row>
    <row r="7" spans="1:6" x14ac:dyDescent="0.25">
      <c r="A7">
        <v>20601968</v>
      </c>
      <c r="B7">
        <v>2024</v>
      </c>
      <c r="C7" t="s">
        <v>138</v>
      </c>
      <c r="D7">
        <v>20601968551</v>
      </c>
      <c r="E7" t="s">
        <v>137</v>
      </c>
      <c r="F7">
        <v>94042.647299999997</v>
      </c>
    </row>
    <row r="8" spans="1:6" x14ac:dyDescent="0.25">
      <c r="A8">
        <v>20601968</v>
      </c>
      <c r="B8">
        <v>2025</v>
      </c>
      <c r="C8" t="s">
        <v>138</v>
      </c>
      <c r="D8">
        <v>20601968551</v>
      </c>
      <c r="E8" t="s">
        <v>137</v>
      </c>
      <c r="F8">
        <v>50933.004529999998</v>
      </c>
    </row>
    <row r="9" spans="1:6" x14ac:dyDescent="0.25">
      <c r="A9">
        <v>20512110</v>
      </c>
      <c r="B9">
        <v>2024</v>
      </c>
      <c r="C9" t="s">
        <v>139</v>
      </c>
      <c r="D9">
        <v>20512110143</v>
      </c>
      <c r="E9" t="s">
        <v>406</v>
      </c>
      <c r="F9">
        <v>45513.430200000003</v>
      </c>
    </row>
    <row r="10" spans="1:6" x14ac:dyDescent="0.25">
      <c r="A10">
        <v>20512110</v>
      </c>
      <c r="B10">
        <v>2025</v>
      </c>
      <c r="C10" t="s">
        <v>139</v>
      </c>
      <c r="D10">
        <v>20512110143</v>
      </c>
      <c r="E10" t="s">
        <v>406</v>
      </c>
      <c r="F10">
        <v>25191.445500000002</v>
      </c>
    </row>
    <row r="11" spans="1:6" x14ac:dyDescent="0.25">
      <c r="A11">
        <v>10166763580</v>
      </c>
      <c r="B11">
        <v>2024</v>
      </c>
      <c r="C11" t="s">
        <v>140</v>
      </c>
      <c r="D11">
        <v>10166763580</v>
      </c>
      <c r="E11" t="s">
        <v>406</v>
      </c>
      <c r="F11">
        <v>16118.045819999999</v>
      </c>
    </row>
    <row r="12" spans="1:6" x14ac:dyDescent="0.25">
      <c r="A12">
        <v>20506528</v>
      </c>
      <c r="B12">
        <v>2025</v>
      </c>
      <c r="C12" t="s">
        <v>407</v>
      </c>
      <c r="D12">
        <v>20506528314</v>
      </c>
      <c r="E12" t="s">
        <v>137</v>
      </c>
      <c r="F12">
        <v>22115.678400000001</v>
      </c>
    </row>
    <row r="13" spans="1:6" x14ac:dyDescent="0.25">
      <c r="A13">
        <v>72632867</v>
      </c>
      <c r="B13">
        <v>2024</v>
      </c>
      <c r="C13" t="s">
        <v>362</v>
      </c>
      <c r="D13">
        <v>72632867</v>
      </c>
      <c r="E13" t="s">
        <v>363</v>
      </c>
      <c r="F13">
        <v>1046.4670599999999</v>
      </c>
    </row>
    <row r="14" spans="1:6" x14ac:dyDescent="0.25">
      <c r="A14">
        <v>20601197171</v>
      </c>
      <c r="B14">
        <v>2024</v>
      </c>
      <c r="C14" t="s">
        <v>141</v>
      </c>
      <c r="D14">
        <v>20601197171</v>
      </c>
      <c r="E14" t="s">
        <v>135</v>
      </c>
      <c r="F14">
        <v>483741.24254000001</v>
      </c>
    </row>
    <row r="15" spans="1:6" x14ac:dyDescent="0.25">
      <c r="A15">
        <v>20601197171</v>
      </c>
      <c r="B15">
        <v>2025</v>
      </c>
      <c r="C15" t="s">
        <v>141</v>
      </c>
      <c r="D15">
        <v>20601197171</v>
      </c>
      <c r="E15" t="s">
        <v>135</v>
      </c>
      <c r="F15">
        <v>131.94999999999999</v>
      </c>
    </row>
    <row r="16" spans="1:6" x14ac:dyDescent="0.25">
      <c r="A16">
        <v>20101283</v>
      </c>
      <c r="B16">
        <v>2024</v>
      </c>
      <c r="C16" t="s">
        <v>142</v>
      </c>
      <c r="D16">
        <v>20101283403</v>
      </c>
      <c r="E16" t="s">
        <v>137</v>
      </c>
      <c r="F16">
        <v>8764.0306600000004</v>
      </c>
    </row>
    <row r="17" spans="1:6" x14ac:dyDescent="0.25">
      <c r="A17">
        <v>20101283</v>
      </c>
      <c r="B17">
        <v>2025</v>
      </c>
      <c r="C17" t="s">
        <v>142</v>
      </c>
      <c r="D17">
        <v>20101283403</v>
      </c>
      <c r="E17" t="s">
        <v>137</v>
      </c>
      <c r="F17">
        <v>4472.8374800000001</v>
      </c>
    </row>
    <row r="18" spans="1:6" x14ac:dyDescent="0.25">
      <c r="A18">
        <v>20101600</v>
      </c>
      <c r="B18">
        <v>2024</v>
      </c>
      <c r="C18" t="s">
        <v>143</v>
      </c>
      <c r="D18">
        <v>20101600735</v>
      </c>
      <c r="E18" t="s">
        <v>135</v>
      </c>
      <c r="F18">
        <v>284877.94977000001</v>
      </c>
    </row>
    <row r="19" spans="1:6" x14ac:dyDescent="0.25">
      <c r="A19">
        <v>20101600</v>
      </c>
      <c r="B19">
        <v>2025</v>
      </c>
      <c r="C19" t="s">
        <v>143</v>
      </c>
      <c r="D19">
        <v>20101600735</v>
      </c>
      <c r="E19" t="s">
        <v>135</v>
      </c>
      <c r="F19">
        <v>18533.95938</v>
      </c>
    </row>
    <row r="20" spans="1:6" x14ac:dyDescent="0.25">
      <c r="A20">
        <v>20600057</v>
      </c>
      <c r="B20">
        <v>2024</v>
      </c>
      <c r="C20" t="s">
        <v>144</v>
      </c>
      <c r="D20">
        <v>20600057601</v>
      </c>
      <c r="E20" t="s">
        <v>406</v>
      </c>
      <c r="F20">
        <v>12227.706899999999</v>
      </c>
    </row>
    <row r="21" spans="1:6" x14ac:dyDescent="0.25">
      <c r="A21">
        <v>20600057</v>
      </c>
      <c r="B21">
        <v>2025</v>
      </c>
      <c r="C21" t="s">
        <v>144</v>
      </c>
      <c r="D21">
        <v>20600057601</v>
      </c>
      <c r="E21" t="s">
        <v>406</v>
      </c>
      <c r="F21">
        <v>19426.331460000001</v>
      </c>
    </row>
    <row r="22" spans="1:6" x14ac:dyDescent="0.25">
      <c r="A22">
        <v>20113076</v>
      </c>
      <c r="B22">
        <v>2024</v>
      </c>
      <c r="C22" t="s">
        <v>145</v>
      </c>
      <c r="D22">
        <v>20113076128</v>
      </c>
      <c r="E22" t="s">
        <v>137</v>
      </c>
      <c r="F22">
        <v>71081.845629999996</v>
      </c>
    </row>
    <row r="23" spans="1:6" x14ac:dyDescent="0.25">
      <c r="A23">
        <v>20113076</v>
      </c>
      <c r="B23">
        <v>2025</v>
      </c>
      <c r="C23" t="s">
        <v>145</v>
      </c>
      <c r="D23">
        <v>20113076128</v>
      </c>
      <c r="E23" t="s">
        <v>137</v>
      </c>
      <c r="F23">
        <v>44487.700940000002</v>
      </c>
    </row>
    <row r="24" spans="1:6" x14ac:dyDescent="0.25">
      <c r="A24">
        <v>20608532812</v>
      </c>
      <c r="B24">
        <v>2024</v>
      </c>
      <c r="C24" t="s">
        <v>146</v>
      </c>
      <c r="D24">
        <v>20608532812</v>
      </c>
      <c r="E24" t="s">
        <v>132</v>
      </c>
      <c r="F24">
        <v>3760.4048400000001</v>
      </c>
    </row>
    <row r="25" spans="1:6" x14ac:dyDescent="0.25">
      <c r="A25">
        <v>20602172</v>
      </c>
      <c r="B25">
        <v>2024</v>
      </c>
      <c r="C25" t="s">
        <v>28</v>
      </c>
      <c r="D25">
        <v>20602172415</v>
      </c>
      <c r="E25" t="s">
        <v>137</v>
      </c>
      <c r="F25">
        <v>92786.290550000005</v>
      </c>
    </row>
    <row r="26" spans="1:6" x14ac:dyDescent="0.25">
      <c r="A26">
        <v>20602172</v>
      </c>
      <c r="B26">
        <v>2025</v>
      </c>
      <c r="C26" t="s">
        <v>28</v>
      </c>
      <c r="D26">
        <v>20602172415</v>
      </c>
      <c r="E26" t="s">
        <v>137</v>
      </c>
      <c r="F26">
        <v>14469.46027</v>
      </c>
    </row>
    <row r="27" spans="1:6" x14ac:dyDescent="0.25">
      <c r="A27">
        <v>20508898</v>
      </c>
      <c r="B27">
        <v>2025</v>
      </c>
      <c r="C27" t="s">
        <v>408</v>
      </c>
      <c r="D27">
        <v>20508898402</v>
      </c>
      <c r="E27" t="s">
        <v>363</v>
      </c>
      <c r="F27">
        <v>24132.753000000001</v>
      </c>
    </row>
    <row r="28" spans="1:6" x14ac:dyDescent="0.25">
      <c r="A28">
        <v>51896302</v>
      </c>
      <c r="B28">
        <v>2025</v>
      </c>
      <c r="C28" t="s">
        <v>355</v>
      </c>
      <c r="D28">
        <v>518963029</v>
      </c>
      <c r="E28" t="s">
        <v>406</v>
      </c>
      <c r="F28">
        <v>19196.890179999999</v>
      </c>
    </row>
    <row r="29" spans="1:6" x14ac:dyDescent="0.25">
      <c r="A29">
        <v>20468268</v>
      </c>
      <c r="B29">
        <v>2024</v>
      </c>
      <c r="C29" t="s">
        <v>30</v>
      </c>
      <c r="D29">
        <v>20468268508</v>
      </c>
      <c r="E29" t="s">
        <v>135</v>
      </c>
      <c r="F29">
        <v>950175.94938999997</v>
      </c>
    </row>
    <row r="30" spans="1:6" x14ac:dyDescent="0.25">
      <c r="A30">
        <v>20468268</v>
      </c>
      <c r="B30">
        <v>2025</v>
      </c>
      <c r="C30" t="s">
        <v>30</v>
      </c>
      <c r="D30">
        <v>20468268508</v>
      </c>
      <c r="E30" t="s">
        <v>135</v>
      </c>
      <c r="F30">
        <v>447165.75565000001</v>
      </c>
    </row>
    <row r="31" spans="1:6" x14ac:dyDescent="0.25">
      <c r="A31">
        <v>20523589491</v>
      </c>
      <c r="B31">
        <v>2024</v>
      </c>
      <c r="C31" t="s">
        <v>147</v>
      </c>
      <c r="D31">
        <v>20523589491</v>
      </c>
      <c r="E31" t="s">
        <v>137</v>
      </c>
      <c r="F31">
        <v>1617.4941200000001</v>
      </c>
    </row>
    <row r="32" spans="1:6" x14ac:dyDescent="0.25">
      <c r="A32">
        <v>20545929</v>
      </c>
      <c r="B32">
        <v>2024</v>
      </c>
      <c r="C32" t="s">
        <v>148</v>
      </c>
      <c r="D32">
        <v>20545929571</v>
      </c>
      <c r="E32" t="s">
        <v>137</v>
      </c>
      <c r="F32">
        <v>387688.34902000002</v>
      </c>
    </row>
    <row r="33" spans="1:6" x14ac:dyDescent="0.25">
      <c r="A33">
        <v>20545929</v>
      </c>
      <c r="B33">
        <v>2025</v>
      </c>
      <c r="C33" t="s">
        <v>148</v>
      </c>
      <c r="D33">
        <v>20545929571</v>
      </c>
      <c r="E33" t="s">
        <v>137</v>
      </c>
      <c r="F33">
        <v>162190.75115</v>
      </c>
    </row>
    <row r="34" spans="1:6" x14ac:dyDescent="0.25">
      <c r="A34">
        <v>20611415461</v>
      </c>
      <c r="B34">
        <v>2024</v>
      </c>
      <c r="C34" t="s">
        <v>149</v>
      </c>
      <c r="D34">
        <v>20611415461</v>
      </c>
      <c r="E34" t="s">
        <v>406</v>
      </c>
      <c r="F34">
        <v>20635.598610000001</v>
      </c>
    </row>
    <row r="35" spans="1:6" x14ac:dyDescent="0.25">
      <c r="A35">
        <v>10703160145</v>
      </c>
      <c r="B35">
        <v>2025</v>
      </c>
      <c r="C35" t="s">
        <v>409</v>
      </c>
      <c r="D35">
        <v>10703160145</v>
      </c>
      <c r="E35" t="s">
        <v>363</v>
      </c>
      <c r="F35">
        <v>709.65</v>
      </c>
    </row>
    <row r="36" spans="1:6" x14ac:dyDescent="0.25">
      <c r="A36">
        <v>41894416</v>
      </c>
      <c r="B36">
        <v>2024</v>
      </c>
      <c r="C36" t="s">
        <v>364</v>
      </c>
      <c r="D36">
        <v>41894416</v>
      </c>
      <c r="E36" t="s">
        <v>363</v>
      </c>
      <c r="F36">
        <v>31.16</v>
      </c>
    </row>
    <row r="37" spans="1:6" x14ac:dyDescent="0.25">
      <c r="A37">
        <v>10105861333</v>
      </c>
      <c r="B37">
        <v>2025</v>
      </c>
      <c r="C37" t="s">
        <v>410</v>
      </c>
      <c r="D37">
        <v>10105861333</v>
      </c>
      <c r="E37" t="s">
        <v>363</v>
      </c>
      <c r="F37">
        <v>353.73750000000001</v>
      </c>
    </row>
    <row r="38" spans="1:6" x14ac:dyDescent="0.25">
      <c r="A38">
        <v>20413770</v>
      </c>
      <c r="B38">
        <v>2024</v>
      </c>
      <c r="C38" t="s">
        <v>19</v>
      </c>
      <c r="D38">
        <v>20413770204</v>
      </c>
      <c r="E38" t="s">
        <v>406</v>
      </c>
      <c r="F38">
        <v>1530182.3585699999</v>
      </c>
    </row>
    <row r="39" spans="1:6" x14ac:dyDescent="0.25">
      <c r="A39">
        <v>20413770</v>
      </c>
      <c r="B39">
        <v>2025</v>
      </c>
      <c r="C39" t="s">
        <v>19</v>
      </c>
      <c r="D39">
        <v>20413770204</v>
      </c>
      <c r="E39" t="s">
        <v>406</v>
      </c>
      <c r="F39">
        <v>409831.65253999998</v>
      </c>
    </row>
    <row r="40" spans="1:6" x14ac:dyDescent="0.25">
      <c r="A40">
        <v>20100873</v>
      </c>
      <c r="B40">
        <v>2024</v>
      </c>
      <c r="C40" t="s">
        <v>150</v>
      </c>
      <c r="D40">
        <v>20100873410</v>
      </c>
      <c r="E40" t="s">
        <v>137</v>
      </c>
      <c r="F40">
        <v>42785.720759999997</v>
      </c>
    </row>
    <row r="41" spans="1:6" x14ac:dyDescent="0.25">
      <c r="A41">
        <v>20100873</v>
      </c>
      <c r="B41">
        <v>2025</v>
      </c>
      <c r="C41" t="s">
        <v>150</v>
      </c>
      <c r="D41">
        <v>20100873410</v>
      </c>
      <c r="E41" t="s">
        <v>137</v>
      </c>
      <c r="F41">
        <v>26698.406900000002</v>
      </c>
    </row>
    <row r="42" spans="1:6" x14ac:dyDescent="0.25">
      <c r="A42">
        <v>910496022</v>
      </c>
      <c r="B42">
        <v>2024</v>
      </c>
      <c r="C42" t="s">
        <v>42</v>
      </c>
      <c r="D42">
        <v>910496022</v>
      </c>
      <c r="E42" t="s">
        <v>406</v>
      </c>
      <c r="F42">
        <v>119404.9556</v>
      </c>
    </row>
    <row r="43" spans="1:6" x14ac:dyDescent="0.25">
      <c r="A43">
        <v>910496022</v>
      </c>
      <c r="B43">
        <v>2025</v>
      </c>
      <c r="C43" t="s">
        <v>42</v>
      </c>
      <c r="D43">
        <v>910496022</v>
      </c>
      <c r="E43" t="s">
        <v>406</v>
      </c>
      <c r="F43">
        <v>5017.2569999999996</v>
      </c>
    </row>
    <row r="44" spans="1:6" x14ac:dyDescent="0.25">
      <c r="A44">
        <v>10101049758</v>
      </c>
      <c r="B44">
        <v>2024</v>
      </c>
      <c r="C44" t="s">
        <v>151</v>
      </c>
      <c r="D44">
        <v>10101049758</v>
      </c>
      <c r="E44" t="s">
        <v>137</v>
      </c>
      <c r="F44">
        <v>14180.841210000001</v>
      </c>
    </row>
    <row r="45" spans="1:6" x14ac:dyDescent="0.25">
      <c r="A45">
        <v>10417289289</v>
      </c>
      <c r="B45">
        <v>2024</v>
      </c>
      <c r="C45" t="s">
        <v>152</v>
      </c>
      <c r="D45">
        <v>10417289289</v>
      </c>
      <c r="E45" t="s">
        <v>406</v>
      </c>
      <c r="F45">
        <v>5124.91464</v>
      </c>
    </row>
    <row r="46" spans="1:6" x14ac:dyDescent="0.25">
      <c r="A46">
        <v>10417289289</v>
      </c>
      <c r="B46">
        <v>2025</v>
      </c>
      <c r="C46" t="s">
        <v>152</v>
      </c>
      <c r="D46">
        <v>10417289289</v>
      </c>
      <c r="E46" t="s">
        <v>406</v>
      </c>
      <c r="F46">
        <v>1686.1343999999999</v>
      </c>
    </row>
    <row r="47" spans="1:6" x14ac:dyDescent="0.25">
      <c r="A47">
        <v>20613123858</v>
      </c>
      <c r="B47">
        <v>2025</v>
      </c>
      <c r="C47" t="s">
        <v>356</v>
      </c>
      <c r="D47">
        <v>20613123858</v>
      </c>
      <c r="E47" t="s">
        <v>406</v>
      </c>
      <c r="F47">
        <v>1276.4386099999999</v>
      </c>
    </row>
    <row r="48" spans="1:6" x14ac:dyDescent="0.25">
      <c r="A48">
        <v>20604804681</v>
      </c>
      <c r="B48">
        <v>2024</v>
      </c>
      <c r="C48" t="s">
        <v>153</v>
      </c>
      <c r="D48">
        <v>20604804681</v>
      </c>
      <c r="E48" t="s">
        <v>406</v>
      </c>
      <c r="F48">
        <v>182833.39837000001</v>
      </c>
    </row>
    <row r="49" spans="1:6" x14ac:dyDescent="0.25">
      <c r="A49">
        <v>20524895049</v>
      </c>
      <c r="B49">
        <v>2024</v>
      </c>
      <c r="C49" t="s">
        <v>154</v>
      </c>
      <c r="D49">
        <v>20524895049</v>
      </c>
      <c r="E49" t="s">
        <v>137</v>
      </c>
      <c r="F49">
        <v>2390.8937099999998</v>
      </c>
    </row>
    <row r="50" spans="1:6" x14ac:dyDescent="0.25">
      <c r="A50">
        <v>20524895049</v>
      </c>
      <c r="B50">
        <v>2025</v>
      </c>
      <c r="C50" t="s">
        <v>154</v>
      </c>
      <c r="D50">
        <v>20524895049</v>
      </c>
      <c r="E50" t="s">
        <v>137</v>
      </c>
      <c r="F50">
        <v>2413.3015999999998</v>
      </c>
    </row>
    <row r="51" spans="1:6" x14ac:dyDescent="0.25">
      <c r="A51">
        <v>86006985</v>
      </c>
      <c r="B51">
        <v>2024</v>
      </c>
      <c r="C51" t="s">
        <v>155</v>
      </c>
      <c r="D51">
        <v>8600698597</v>
      </c>
      <c r="E51" t="s">
        <v>406</v>
      </c>
      <c r="F51">
        <v>76090.5288</v>
      </c>
    </row>
    <row r="52" spans="1:6" x14ac:dyDescent="0.25">
      <c r="A52">
        <v>86006985</v>
      </c>
      <c r="B52">
        <v>2025</v>
      </c>
      <c r="C52" t="s">
        <v>155</v>
      </c>
      <c r="D52">
        <v>8600698597</v>
      </c>
      <c r="E52" t="s">
        <v>406</v>
      </c>
      <c r="F52">
        <v>55788.872960000001</v>
      </c>
    </row>
    <row r="53" spans="1:6" x14ac:dyDescent="0.25">
      <c r="A53">
        <v>20492112</v>
      </c>
      <c r="B53">
        <v>2024</v>
      </c>
      <c r="C53" t="s">
        <v>156</v>
      </c>
      <c r="D53">
        <v>20492112365</v>
      </c>
      <c r="E53" t="s">
        <v>137</v>
      </c>
      <c r="F53">
        <v>69202.464089999994</v>
      </c>
    </row>
    <row r="54" spans="1:6" x14ac:dyDescent="0.25">
      <c r="A54">
        <v>20492112</v>
      </c>
      <c r="B54">
        <v>2025</v>
      </c>
      <c r="C54" t="s">
        <v>156</v>
      </c>
      <c r="D54">
        <v>20492112365</v>
      </c>
      <c r="E54" t="s">
        <v>137</v>
      </c>
      <c r="F54">
        <v>36748.852420000003</v>
      </c>
    </row>
    <row r="55" spans="1:6" x14ac:dyDescent="0.25">
      <c r="A55">
        <v>10421983327</v>
      </c>
      <c r="B55">
        <v>2024</v>
      </c>
      <c r="C55" t="s">
        <v>93</v>
      </c>
      <c r="D55">
        <v>10421983327</v>
      </c>
      <c r="E55" t="s">
        <v>132</v>
      </c>
      <c r="F55">
        <v>23117.349750000001</v>
      </c>
    </row>
    <row r="56" spans="1:6" x14ac:dyDescent="0.25">
      <c r="A56">
        <v>10421983327</v>
      </c>
      <c r="B56">
        <v>2025</v>
      </c>
      <c r="C56" t="s">
        <v>93</v>
      </c>
      <c r="D56">
        <v>10421983327</v>
      </c>
      <c r="E56" t="s">
        <v>132</v>
      </c>
      <c r="F56">
        <v>4295.241</v>
      </c>
    </row>
    <row r="57" spans="1:6" x14ac:dyDescent="0.25">
      <c r="A57">
        <v>20608327437</v>
      </c>
      <c r="B57">
        <v>2024</v>
      </c>
      <c r="C57" t="s">
        <v>157</v>
      </c>
      <c r="D57">
        <v>20608327437</v>
      </c>
      <c r="E57" t="s">
        <v>406</v>
      </c>
      <c r="F57">
        <v>3939.3107</v>
      </c>
    </row>
    <row r="58" spans="1:6" x14ac:dyDescent="0.25">
      <c r="A58">
        <v>20608327437</v>
      </c>
      <c r="B58">
        <v>2025</v>
      </c>
      <c r="C58" t="s">
        <v>157</v>
      </c>
      <c r="D58">
        <v>20608327437</v>
      </c>
      <c r="E58" t="s">
        <v>406</v>
      </c>
      <c r="F58">
        <v>2033.538</v>
      </c>
    </row>
    <row r="59" spans="1:6" x14ac:dyDescent="0.25">
      <c r="A59">
        <v>10073329740</v>
      </c>
      <c r="B59">
        <v>2024</v>
      </c>
      <c r="C59" t="s">
        <v>158</v>
      </c>
      <c r="D59">
        <v>10073329740</v>
      </c>
      <c r="E59" t="s">
        <v>137</v>
      </c>
      <c r="F59">
        <v>16680.45146</v>
      </c>
    </row>
    <row r="60" spans="1:6" x14ac:dyDescent="0.25">
      <c r="A60">
        <v>10073329740</v>
      </c>
      <c r="B60">
        <v>2025</v>
      </c>
      <c r="C60" t="s">
        <v>158</v>
      </c>
      <c r="D60">
        <v>10073329740</v>
      </c>
      <c r="E60" t="s">
        <v>137</v>
      </c>
      <c r="F60">
        <v>17086.048200000001</v>
      </c>
    </row>
    <row r="61" spans="1:6" x14ac:dyDescent="0.25">
      <c r="A61">
        <v>47591553</v>
      </c>
      <c r="B61">
        <v>2024</v>
      </c>
      <c r="C61" t="s">
        <v>159</v>
      </c>
      <c r="D61">
        <v>47591553</v>
      </c>
      <c r="E61" t="s">
        <v>406</v>
      </c>
      <c r="F61">
        <v>2715.03404</v>
      </c>
    </row>
    <row r="62" spans="1:6" x14ac:dyDescent="0.25">
      <c r="A62">
        <v>10225217</v>
      </c>
      <c r="B62">
        <v>2024</v>
      </c>
      <c r="C62" t="s">
        <v>160</v>
      </c>
      <c r="D62">
        <v>10225217217</v>
      </c>
      <c r="E62" t="s">
        <v>406</v>
      </c>
      <c r="F62">
        <v>3030.77304</v>
      </c>
    </row>
    <row r="63" spans="1:6" x14ac:dyDescent="0.25">
      <c r="A63">
        <v>10225217</v>
      </c>
      <c r="B63">
        <v>2025</v>
      </c>
      <c r="C63" t="s">
        <v>160</v>
      </c>
      <c r="D63">
        <v>10225217217</v>
      </c>
      <c r="E63" t="s">
        <v>406</v>
      </c>
      <c r="F63">
        <v>1611.25675</v>
      </c>
    </row>
    <row r="64" spans="1:6" x14ac:dyDescent="0.25">
      <c r="A64">
        <v>10464418828</v>
      </c>
      <c r="B64">
        <v>2024</v>
      </c>
      <c r="C64" t="s">
        <v>161</v>
      </c>
      <c r="D64">
        <v>10464418828</v>
      </c>
      <c r="E64" t="s">
        <v>137</v>
      </c>
      <c r="F64">
        <v>20561.96904</v>
      </c>
    </row>
    <row r="65" spans="1:6" x14ac:dyDescent="0.25">
      <c r="A65">
        <v>20550223</v>
      </c>
      <c r="B65">
        <v>2024</v>
      </c>
      <c r="C65" t="s">
        <v>162</v>
      </c>
      <c r="D65">
        <v>20550223059</v>
      </c>
      <c r="E65" t="s">
        <v>137</v>
      </c>
      <c r="F65">
        <v>121903.54077000001</v>
      </c>
    </row>
    <row r="66" spans="1:6" x14ac:dyDescent="0.25">
      <c r="A66">
        <v>20550223</v>
      </c>
      <c r="B66">
        <v>2025</v>
      </c>
      <c r="C66" t="s">
        <v>162</v>
      </c>
      <c r="D66">
        <v>20550223059</v>
      </c>
      <c r="E66" t="s">
        <v>137</v>
      </c>
      <c r="F66">
        <v>8857.6200000000008</v>
      </c>
    </row>
    <row r="67" spans="1:6" x14ac:dyDescent="0.25">
      <c r="A67">
        <v>20553048151</v>
      </c>
      <c r="B67">
        <v>2024</v>
      </c>
      <c r="C67" t="s">
        <v>21</v>
      </c>
      <c r="D67">
        <v>20553048151</v>
      </c>
      <c r="E67" t="s">
        <v>137</v>
      </c>
      <c r="F67">
        <v>145306.57032</v>
      </c>
    </row>
    <row r="68" spans="1:6" x14ac:dyDescent="0.25">
      <c r="A68">
        <v>20553048151</v>
      </c>
      <c r="B68">
        <v>2025</v>
      </c>
      <c r="C68" t="s">
        <v>21</v>
      </c>
      <c r="D68">
        <v>20553048151</v>
      </c>
      <c r="E68" t="s">
        <v>137</v>
      </c>
      <c r="F68">
        <v>49191.616249999999</v>
      </c>
    </row>
    <row r="69" spans="1:6" x14ac:dyDescent="0.25">
      <c r="A69">
        <v>10103028162</v>
      </c>
      <c r="B69">
        <v>2024</v>
      </c>
      <c r="C69" t="s">
        <v>163</v>
      </c>
      <c r="D69">
        <v>10103028162</v>
      </c>
      <c r="E69" t="s">
        <v>137</v>
      </c>
      <c r="F69">
        <v>34797.059569999998</v>
      </c>
    </row>
    <row r="70" spans="1:6" x14ac:dyDescent="0.25">
      <c r="A70">
        <v>10103028162</v>
      </c>
      <c r="B70">
        <v>2025</v>
      </c>
      <c r="C70" t="s">
        <v>163</v>
      </c>
      <c r="D70">
        <v>10103028162</v>
      </c>
      <c r="E70" t="s">
        <v>137</v>
      </c>
      <c r="F70">
        <v>9732.9893200000006</v>
      </c>
    </row>
    <row r="71" spans="1:6" x14ac:dyDescent="0.25">
      <c r="A71">
        <v>10409176050</v>
      </c>
      <c r="B71">
        <v>2024</v>
      </c>
      <c r="C71" t="s">
        <v>164</v>
      </c>
      <c r="D71">
        <v>10409176050</v>
      </c>
      <c r="E71" t="s">
        <v>137</v>
      </c>
      <c r="F71">
        <v>314173.77415999997</v>
      </c>
    </row>
    <row r="72" spans="1:6" x14ac:dyDescent="0.25">
      <c r="A72">
        <v>10409176050</v>
      </c>
      <c r="B72">
        <v>2025</v>
      </c>
      <c r="C72" t="s">
        <v>164</v>
      </c>
      <c r="D72">
        <v>10409176050</v>
      </c>
      <c r="E72" t="s">
        <v>137</v>
      </c>
      <c r="F72">
        <v>30992.385920000001</v>
      </c>
    </row>
    <row r="73" spans="1:6" x14ac:dyDescent="0.25">
      <c r="A73">
        <v>10477054892</v>
      </c>
      <c r="B73">
        <v>2024</v>
      </c>
      <c r="C73" t="s">
        <v>365</v>
      </c>
      <c r="D73">
        <v>10477054892</v>
      </c>
      <c r="E73" t="s">
        <v>363</v>
      </c>
      <c r="F73">
        <v>3651.8</v>
      </c>
    </row>
    <row r="74" spans="1:6" x14ac:dyDescent="0.25">
      <c r="A74">
        <v>10104113</v>
      </c>
      <c r="B74">
        <v>2024</v>
      </c>
      <c r="C74" t="s">
        <v>165</v>
      </c>
      <c r="D74">
        <v>10104113961</v>
      </c>
      <c r="E74" t="s">
        <v>137</v>
      </c>
      <c r="F74">
        <v>28222.036189999999</v>
      </c>
    </row>
    <row r="75" spans="1:6" x14ac:dyDescent="0.25">
      <c r="A75">
        <v>20507907</v>
      </c>
      <c r="B75">
        <v>2024</v>
      </c>
      <c r="C75" t="s">
        <v>105</v>
      </c>
      <c r="D75">
        <v>20507907114</v>
      </c>
      <c r="E75" t="s">
        <v>132</v>
      </c>
      <c r="F75">
        <v>190.52</v>
      </c>
    </row>
    <row r="76" spans="1:6" x14ac:dyDescent="0.25">
      <c r="A76">
        <v>40436966</v>
      </c>
      <c r="B76">
        <v>2024</v>
      </c>
      <c r="C76" t="s">
        <v>166</v>
      </c>
      <c r="D76">
        <v>40436966</v>
      </c>
      <c r="E76" t="s">
        <v>406</v>
      </c>
      <c r="F76">
        <v>3496.116</v>
      </c>
    </row>
    <row r="77" spans="1:6" x14ac:dyDescent="0.25">
      <c r="A77">
        <v>20424874</v>
      </c>
      <c r="B77">
        <v>2024</v>
      </c>
      <c r="C77" t="s">
        <v>167</v>
      </c>
      <c r="D77">
        <v>20424874141</v>
      </c>
      <c r="E77" t="s">
        <v>137</v>
      </c>
      <c r="F77">
        <v>11047.9017</v>
      </c>
    </row>
    <row r="78" spans="1:6" x14ac:dyDescent="0.25">
      <c r="A78">
        <v>10441680</v>
      </c>
      <c r="B78">
        <v>2024</v>
      </c>
      <c r="C78" t="s">
        <v>168</v>
      </c>
      <c r="D78">
        <v>10441680533</v>
      </c>
      <c r="E78" t="s">
        <v>406</v>
      </c>
      <c r="F78">
        <v>16665.5272</v>
      </c>
    </row>
    <row r="79" spans="1:6" x14ac:dyDescent="0.25">
      <c r="A79">
        <v>10739888331</v>
      </c>
      <c r="B79">
        <v>2024</v>
      </c>
      <c r="C79" t="s">
        <v>169</v>
      </c>
      <c r="D79">
        <v>10739888331</v>
      </c>
      <c r="E79" t="s">
        <v>406</v>
      </c>
      <c r="F79">
        <v>8224.5614100000003</v>
      </c>
    </row>
    <row r="80" spans="1:6" x14ac:dyDescent="0.25">
      <c r="A80">
        <v>10739888331</v>
      </c>
      <c r="B80">
        <v>2025</v>
      </c>
      <c r="C80" t="s">
        <v>169</v>
      </c>
      <c r="D80">
        <v>10739888331</v>
      </c>
      <c r="E80" t="s">
        <v>406</v>
      </c>
      <c r="F80">
        <v>4101.5828799999999</v>
      </c>
    </row>
    <row r="81" spans="1:6" x14ac:dyDescent="0.25">
      <c r="A81">
        <v>34989311</v>
      </c>
      <c r="B81">
        <v>2024</v>
      </c>
      <c r="C81" t="s">
        <v>170</v>
      </c>
      <c r="D81">
        <v>20349893119</v>
      </c>
      <c r="E81" t="s">
        <v>137</v>
      </c>
      <c r="F81">
        <v>5039.18833</v>
      </c>
    </row>
    <row r="82" spans="1:6" x14ac:dyDescent="0.25">
      <c r="A82">
        <v>20550948</v>
      </c>
      <c r="B82">
        <v>2024</v>
      </c>
      <c r="C82" t="s">
        <v>104</v>
      </c>
      <c r="D82">
        <v>20550948029</v>
      </c>
      <c r="E82" t="s">
        <v>132</v>
      </c>
      <c r="F82">
        <v>7524.3232600000001</v>
      </c>
    </row>
    <row r="83" spans="1:6" x14ac:dyDescent="0.25">
      <c r="A83">
        <v>20551622631</v>
      </c>
      <c r="B83">
        <v>2024</v>
      </c>
      <c r="C83" t="s">
        <v>171</v>
      </c>
      <c r="D83">
        <v>20551622631</v>
      </c>
      <c r="E83" t="s">
        <v>406</v>
      </c>
      <c r="F83">
        <v>3539.0160000000001</v>
      </c>
    </row>
    <row r="84" spans="1:6" x14ac:dyDescent="0.25">
      <c r="A84">
        <v>20503955</v>
      </c>
      <c r="B84">
        <v>2024</v>
      </c>
      <c r="C84" t="s">
        <v>33</v>
      </c>
      <c r="D84">
        <v>20503955297</v>
      </c>
      <c r="E84" t="s">
        <v>135</v>
      </c>
      <c r="F84">
        <v>205317.41279999999</v>
      </c>
    </row>
    <row r="85" spans="1:6" x14ac:dyDescent="0.25">
      <c r="A85">
        <v>20503955</v>
      </c>
      <c r="B85">
        <v>2025</v>
      </c>
      <c r="C85" t="s">
        <v>33</v>
      </c>
      <c r="D85">
        <v>20503955297</v>
      </c>
      <c r="E85" t="s">
        <v>135</v>
      </c>
      <c r="F85">
        <v>60424.785150000003</v>
      </c>
    </row>
    <row r="86" spans="1:6" x14ac:dyDescent="0.25">
      <c r="A86">
        <v>20519499</v>
      </c>
      <c r="B86">
        <v>2024</v>
      </c>
      <c r="C86" t="s">
        <v>101</v>
      </c>
      <c r="D86">
        <v>20519499275</v>
      </c>
      <c r="E86" t="s">
        <v>132</v>
      </c>
      <c r="F86">
        <v>20884.23374</v>
      </c>
    </row>
    <row r="87" spans="1:6" x14ac:dyDescent="0.25">
      <c r="A87">
        <v>20519499</v>
      </c>
      <c r="B87">
        <v>2025</v>
      </c>
      <c r="C87" t="s">
        <v>101</v>
      </c>
      <c r="D87">
        <v>20519499275</v>
      </c>
      <c r="E87" t="s">
        <v>132</v>
      </c>
      <c r="F87">
        <v>3524.8304600000001</v>
      </c>
    </row>
    <row r="88" spans="1:6" x14ac:dyDescent="0.25">
      <c r="A88">
        <v>20512438</v>
      </c>
      <c r="B88">
        <v>2024</v>
      </c>
      <c r="C88" t="s">
        <v>172</v>
      </c>
      <c r="D88">
        <v>20512438203</v>
      </c>
      <c r="E88" t="s">
        <v>135</v>
      </c>
      <c r="F88">
        <v>7387.7363999999998</v>
      </c>
    </row>
    <row r="89" spans="1:6" x14ac:dyDescent="0.25">
      <c r="A89">
        <v>20510343</v>
      </c>
      <c r="B89">
        <v>2024</v>
      </c>
      <c r="C89" t="s">
        <v>107</v>
      </c>
      <c r="D89">
        <v>20510343175</v>
      </c>
      <c r="E89" t="s">
        <v>132</v>
      </c>
      <c r="F89">
        <v>28517.370220000001</v>
      </c>
    </row>
    <row r="90" spans="1:6" x14ac:dyDescent="0.25">
      <c r="A90">
        <v>20100001</v>
      </c>
      <c r="B90">
        <v>2024</v>
      </c>
      <c r="C90" t="s">
        <v>173</v>
      </c>
      <c r="D90">
        <v>20100012856</v>
      </c>
      <c r="E90" t="s">
        <v>137</v>
      </c>
      <c r="F90">
        <v>6262.9885000000004</v>
      </c>
    </row>
    <row r="91" spans="1:6" x14ac:dyDescent="0.25">
      <c r="A91">
        <v>20100267846</v>
      </c>
      <c r="B91">
        <v>2024</v>
      </c>
      <c r="C91" t="s">
        <v>60</v>
      </c>
      <c r="D91">
        <v>20100267846</v>
      </c>
      <c r="E91" t="s">
        <v>135</v>
      </c>
      <c r="F91">
        <v>35320.057200000003</v>
      </c>
    </row>
    <row r="92" spans="1:6" x14ac:dyDescent="0.25">
      <c r="A92">
        <v>20100267846</v>
      </c>
      <c r="B92">
        <v>2025</v>
      </c>
      <c r="C92" t="s">
        <v>60</v>
      </c>
      <c r="D92">
        <v>20100267846</v>
      </c>
      <c r="E92" t="s">
        <v>135</v>
      </c>
      <c r="F92">
        <v>24658.3426</v>
      </c>
    </row>
    <row r="93" spans="1:6" x14ac:dyDescent="0.25">
      <c r="A93">
        <v>20610059148</v>
      </c>
      <c r="B93">
        <v>2024</v>
      </c>
      <c r="C93" t="s">
        <v>366</v>
      </c>
      <c r="D93">
        <v>20610059148</v>
      </c>
      <c r="E93" t="s">
        <v>363</v>
      </c>
      <c r="F93">
        <v>714.32</v>
      </c>
    </row>
    <row r="94" spans="1:6" x14ac:dyDescent="0.25">
      <c r="A94">
        <v>20612719897</v>
      </c>
      <c r="B94">
        <v>2024</v>
      </c>
      <c r="C94" t="s">
        <v>174</v>
      </c>
      <c r="D94">
        <v>20612719897</v>
      </c>
      <c r="E94" t="s">
        <v>137</v>
      </c>
      <c r="F94">
        <v>2447.8524299999999</v>
      </c>
    </row>
    <row r="95" spans="1:6" x14ac:dyDescent="0.25">
      <c r="A95">
        <v>20479998800</v>
      </c>
      <c r="B95">
        <v>2024</v>
      </c>
      <c r="C95" t="s">
        <v>55</v>
      </c>
      <c r="D95">
        <v>20479998800</v>
      </c>
      <c r="E95" t="s">
        <v>406</v>
      </c>
      <c r="F95">
        <v>17540.24624</v>
      </c>
    </row>
    <row r="96" spans="1:6" x14ac:dyDescent="0.25">
      <c r="A96">
        <v>20479998800</v>
      </c>
      <c r="B96">
        <v>2025</v>
      </c>
      <c r="C96" t="s">
        <v>55</v>
      </c>
      <c r="D96">
        <v>20479998800</v>
      </c>
      <c r="E96" t="s">
        <v>406</v>
      </c>
      <c r="F96">
        <v>9326.0975799999997</v>
      </c>
    </row>
    <row r="97" spans="1:6" x14ac:dyDescent="0.25">
      <c r="A97">
        <v>10008905</v>
      </c>
      <c r="B97">
        <v>2024</v>
      </c>
      <c r="C97" t="s">
        <v>45</v>
      </c>
      <c r="D97">
        <v>20100089051</v>
      </c>
      <c r="E97" t="s">
        <v>132</v>
      </c>
      <c r="F97">
        <v>3110226.7324299999</v>
      </c>
    </row>
    <row r="98" spans="1:6" x14ac:dyDescent="0.25">
      <c r="A98">
        <v>10008905</v>
      </c>
      <c r="B98">
        <v>2025</v>
      </c>
      <c r="C98" t="s">
        <v>45</v>
      </c>
      <c r="D98">
        <v>20100089051</v>
      </c>
      <c r="E98" t="s">
        <v>132</v>
      </c>
      <c r="F98">
        <v>781928.05810000002</v>
      </c>
    </row>
    <row r="99" spans="1:6" x14ac:dyDescent="0.25">
      <c r="A99">
        <v>20518609</v>
      </c>
      <c r="B99">
        <v>2024</v>
      </c>
      <c r="C99" t="s">
        <v>175</v>
      </c>
      <c r="D99">
        <v>20518609000</v>
      </c>
      <c r="E99" t="s">
        <v>137</v>
      </c>
      <c r="F99">
        <v>20957.495999999999</v>
      </c>
    </row>
    <row r="100" spans="1:6" x14ac:dyDescent="0.25">
      <c r="A100">
        <v>20518609</v>
      </c>
      <c r="B100">
        <v>2025</v>
      </c>
      <c r="C100" t="s">
        <v>175</v>
      </c>
      <c r="D100">
        <v>20518609000</v>
      </c>
      <c r="E100" t="s">
        <v>137</v>
      </c>
      <c r="F100">
        <v>10628.746800000001</v>
      </c>
    </row>
    <row r="101" spans="1:6" x14ac:dyDescent="0.25">
      <c r="A101">
        <v>20101362</v>
      </c>
      <c r="B101">
        <v>2024</v>
      </c>
      <c r="C101" t="s">
        <v>176</v>
      </c>
      <c r="D101">
        <v>20101362702</v>
      </c>
      <c r="E101" t="s">
        <v>135</v>
      </c>
      <c r="F101">
        <v>27189.134010000002</v>
      </c>
    </row>
    <row r="102" spans="1:6" x14ac:dyDescent="0.25">
      <c r="A102">
        <v>20477721258</v>
      </c>
      <c r="B102">
        <v>2024</v>
      </c>
      <c r="C102" t="s">
        <v>177</v>
      </c>
      <c r="D102">
        <v>20477721258</v>
      </c>
      <c r="E102" t="s">
        <v>406</v>
      </c>
      <c r="F102">
        <v>12192.022000000001</v>
      </c>
    </row>
    <row r="103" spans="1:6" x14ac:dyDescent="0.25">
      <c r="A103">
        <v>10028736</v>
      </c>
      <c r="B103">
        <v>2024</v>
      </c>
      <c r="C103" t="s">
        <v>49</v>
      </c>
      <c r="D103">
        <v>20100287367</v>
      </c>
      <c r="E103" t="s">
        <v>132</v>
      </c>
      <c r="F103">
        <v>335470.61793000001</v>
      </c>
    </row>
    <row r="104" spans="1:6" x14ac:dyDescent="0.25">
      <c r="A104">
        <v>10028736</v>
      </c>
      <c r="B104">
        <v>2025</v>
      </c>
      <c r="C104" t="s">
        <v>49</v>
      </c>
      <c r="D104">
        <v>20100287367</v>
      </c>
      <c r="E104" t="s">
        <v>132</v>
      </c>
      <c r="F104">
        <v>95306.531659999993</v>
      </c>
    </row>
    <row r="105" spans="1:6" x14ac:dyDescent="0.25">
      <c r="A105">
        <v>20169044</v>
      </c>
      <c r="B105">
        <v>2024</v>
      </c>
      <c r="C105" t="s">
        <v>15</v>
      </c>
      <c r="D105">
        <v>20169044733</v>
      </c>
      <c r="E105" t="s">
        <v>137</v>
      </c>
      <c r="F105">
        <v>342926.39669999998</v>
      </c>
    </row>
    <row r="106" spans="1:6" x14ac:dyDescent="0.25">
      <c r="A106">
        <v>20169044</v>
      </c>
      <c r="B106">
        <v>2025</v>
      </c>
      <c r="C106" t="s">
        <v>15</v>
      </c>
      <c r="D106">
        <v>20169044733</v>
      </c>
      <c r="E106" t="s">
        <v>137</v>
      </c>
      <c r="F106">
        <v>348358.25482999999</v>
      </c>
    </row>
    <row r="107" spans="1:6" x14ac:dyDescent="0.25">
      <c r="A107">
        <v>10086287</v>
      </c>
      <c r="B107">
        <v>2024</v>
      </c>
      <c r="C107" t="s">
        <v>367</v>
      </c>
      <c r="D107">
        <v>10086287965</v>
      </c>
      <c r="E107" t="s">
        <v>363</v>
      </c>
      <c r="F107">
        <v>1757.33</v>
      </c>
    </row>
    <row r="108" spans="1:6" x14ac:dyDescent="0.25">
      <c r="A108">
        <v>20523403</v>
      </c>
      <c r="B108">
        <v>2024</v>
      </c>
      <c r="C108" t="s">
        <v>178</v>
      </c>
      <c r="D108">
        <v>20523403061</v>
      </c>
      <c r="E108" t="s">
        <v>137</v>
      </c>
      <c r="F108">
        <v>5562.81</v>
      </c>
    </row>
    <row r="109" spans="1:6" x14ac:dyDescent="0.25">
      <c r="A109">
        <v>20601261031</v>
      </c>
      <c r="B109">
        <v>2024</v>
      </c>
      <c r="C109" t="s">
        <v>84</v>
      </c>
      <c r="D109">
        <v>20601261031</v>
      </c>
      <c r="E109" t="s">
        <v>132</v>
      </c>
      <c r="F109">
        <v>239341.40367</v>
      </c>
    </row>
    <row r="110" spans="1:6" x14ac:dyDescent="0.25">
      <c r="A110">
        <v>20601261031</v>
      </c>
      <c r="B110">
        <v>2025</v>
      </c>
      <c r="C110" t="s">
        <v>84</v>
      </c>
      <c r="D110">
        <v>20601261031</v>
      </c>
      <c r="E110" t="s">
        <v>132</v>
      </c>
      <c r="F110">
        <v>99694.505019999997</v>
      </c>
    </row>
    <row r="111" spans="1:6" x14ac:dyDescent="0.25">
      <c r="A111">
        <v>20507688480</v>
      </c>
      <c r="B111">
        <v>2024</v>
      </c>
      <c r="C111" t="s">
        <v>179</v>
      </c>
      <c r="D111">
        <v>20507688480</v>
      </c>
      <c r="E111" t="s">
        <v>137</v>
      </c>
      <c r="F111">
        <v>15700.86</v>
      </c>
    </row>
    <row r="112" spans="1:6" x14ac:dyDescent="0.25">
      <c r="A112">
        <v>20562695096</v>
      </c>
      <c r="B112">
        <v>2024</v>
      </c>
      <c r="C112" t="s">
        <v>95</v>
      </c>
      <c r="D112">
        <v>20562695096</v>
      </c>
      <c r="E112" t="s">
        <v>137</v>
      </c>
      <c r="F112">
        <v>62302.620900000002</v>
      </c>
    </row>
    <row r="113" spans="1:6" x14ac:dyDescent="0.25">
      <c r="A113">
        <v>20606496533</v>
      </c>
      <c r="B113">
        <v>2024</v>
      </c>
      <c r="C113" t="s">
        <v>180</v>
      </c>
      <c r="D113">
        <v>20606496533</v>
      </c>
      <c r="E113" t="s">
        <v>135</v>
      </c>
      <c r="F113">
        <v>6573.0911800000003</v>
      </c>
    </row>
    <row r="114" spans="1:6" x14ac:dyDescent="0.25">
      <c r="A114">
        <v>20606496533</v>
      </c>
      <c r="B114">
        <v>2025</v>
      </c>
      <c r="C114" t="s">
        <v>180</v>
      </c>
      <c r="D114">
        <v>20606496533</v>
      </c>
      <c r="E114" t="s">
        <v>135</v>
      </c>
      <c r="F114">
        <v>12012.827799999999</v>
      </c>
    </row>
    <row r="115" spans="1:6" x14ac:dyDescent="0.25">
      <c r="A115">
        <v>20603776497</v>
      </c>
      <c r="B115">
        <v>2024</v>
      </c>
      <c r="C115" t="s">
        <v>181</v>
      </c>
      <c r="D115">
        <v>20603776497</v>
      </c>
      <c r="E115" t="s">
        <v>406</v>
      </c>
      <c r="F115">
        <v>5020.3988600000002</v>
      </c>
    </row>
    <row r="116" spans="1:6" x14ac:dyDescent="0.25">
      <c r="A116">
        <v>20603776497</v>
      </c>
      <c r="B116">
        <v>2025</v>
      </c>
      <c r="C116" t="s">
        <v>181</v>
      </c>
      <c r="D116">
        <v>20603776497</v>
      </c>
      <c r="E116" t="s">
        <v>406</v>
      </c>
      <c r="F116">
        <v>7267.0346300000001</v>
      </c>
    </row>
    <row r="117" spans="1:6" x14ac:dyDescent="0.25">
      <c r="A117">
        <v>20544327</v>
      </c>
      <c r="B117">
        <v>2024</v>
      </c>
      <c r="C117" t="s">
        <v>182</v>
      </c>
      <c r="D117">
        <v>20544327985</v>
      </c>
      <c r="E117" t="s">
        <v>137</v>
      </c>
      <c r="F117">
        <v>43126.2376</v>
      </c>
    </row>
    <row r="118" spans="1:6" x14ac:dyDescent="0.25">
      <c r="A118">
        <v>20295458</v>
      </c>
      <c r="B118">
        <v>2024</v>
      </c>
      <c r="C118" t="s">
        <v>183</v>
      </c>
      <c r="D118">
        <v>20295458551</v>
      </c>
      <c r="E118" t="s">
        <v>137</v>
      </c>
      <c r="F118">
        <v>6373.20892</v>
      </c>
    </row>
    <row r="119" spans="1:6" x14ac:dyDescent="0.25">
      <c r="A119">
        <v>20295458</v>
      </c>
      <c r="B119">
        <v>2025</v>
      </c>
      <c r="C119" t="s">
        <v>183</v>
      </c>
      <c r="D119">
        <v>20295458551</v>
      </c>
      <c r="E119" t="s">
        <v>137</v>
      </c>
      <c r="F119">
        <v>22223.69831</v>
      </c>
    </row>
    <row r="120" spans="1:6" x14ac:dyDescent="0.25">
      <c r="A120">
        <v>20565898</v>
      </c>
      <c r="B120">
        <v>2024</v>
      </c>
      <c r="C120" t="s">
        <v>184</v>
      </c>
      <c r="D120">
        <v>20565898133</v>
      </c>
      <c r="E120" t="s">
        <v>137</v>
      </c>
      <c r="F120">
        <v>49698.498820000001</v>
      </c>
    </row>
    <row r="121" spans="1:6" x14ac:dyDescent="0.25">
      <c r="A121">
        <v>20516758865</v>
      </c>
      <c r="B121">
        <v>2024</v>
      </c>
      <c r="C121" t="s">
        <v>185</v>
      </c>
      <c r="D121">
        <v>20516758865</v>
      </c>
      <c r="E121" t="s">
        <v>135</v>
      </c>
      <c r="F121">
        <v>69037.237739999997</v>
      </c>
    </row>
    <row r="122" spans="1:6" x14ac:dyDescent="0.25">
      <c r="A122">
        <v>2037434</v>
      </c>
      <c r="B122">
        <v>2024</v>
      </c>
      <c r="C122" t="s">
        <v>186</v>
      </c>
      <c r="D122">
        <v>20374343964</v>
      </c>
      <c r="E122" t="s">
        <v>137</v>
      </c>
      <c r="F122">
        <v>5743.1610000000001</v>
      </c>
    </row>
    <row r="123" spans="1:6" x14ac:dyDescent="0.25">
      <c r="A123">
        <v>20611664177</v>
      </c>
      <c r="B123">
        <v>2024</v>
      </c>
      <c r="C123" t="s">
        <v>187</v>
      </c>
      <c r="D123">
        <v>20611664177</v>
      </c>
      <c r="E123" t="s">
        <v>137</v>
      </c>
      <c r="F123">
        <v>13644.558720000001</v>
      </c>
    </row>
    <row r="124" spans="1:6" x14ac:dyDescent="0.25">
      <c r="A124">
        <v>20123199</v>
      </c>
      <c r="B124">
        <v>2024</v>
      </c>
      <c r="C124" t="s">
        <v>188</v>
      </c>
      <c r="D124">
        <v>20123199597</v>
      </c>
      <c r="E124" t="s">
        <v>137</v>
      </c>
      <c r="F124">
        <v>48352.913549999997</v>
      </c>
    </row>
    <row r="125" spans="1:6" x14ac:dyDescent="0.25">
      <c r="A125">
        <v>20123199</v>
      </c>
      <c r="B125">
        <v>2025</v>
      </c>
      <c r="C125" t="s">
        <v>188</v>
      </c>
      <c r="D125">
        <v>20123199597</v>
      </c>
      <c r="E125" t="s">
        <v>137</v>
      </c>
      <c r="F125">
        <v>6191.8663200000001</v>
      </c>
    </row>
    <row r="126" spans="1:6" x14ac:dyDescent="0.25">
      <c r="A126">
        <v>20549834923</v>
      </c>
      <c r="B126">
        <v>2025</v>
      </c>
      <c r="C126" t="s">
        <v>411</v>
      </c>
      <c r="D126">
        <v>20549834923</v>
      </c>
      <c r="E126" t="s">
        <v>137</v>
      </c>
      <c r="F126">
        <v>2886.192</v>
      </c>
    </row>
    <row r="127" spans="1:6" x14ac:dyDescent="0.25">
      <c r="A127">
        <v>20557418</v>
      </c>
      <c r="B127">
        <v>2024</v>
      </c>
      <c r="C127" t="s">
        <v>189</v>
      </c>
      <c r="D127">
        <v>20557418831</v>
      </c>
      <c r="E127" t="s">
        <v>132</v>
      </c>
      <c r="F127">
        <v>16148.595230000001</v>
      </c>
    </row>
    <row r="128" spans="1:6" x14ac:dyDescent="0.25">
      <c r="A128">
        <v>20612029572</v>
      </c>
      <c r="B128">
        <v>2024</v>
      </c>
      <c r="C128" t="s">
        <v>190</v>
      </c>
      <c r="D128">
        <v>20612029572</v>
      </c>
      <c r="E128" t="s">
        <v>137</v>
      </c>
      <c r="F128">
        <v>7500.24</v>
      </c>
    </row>
    <row r="129" spans="1:6" x14ac:dyDescent="0.25">
      <c r="A129">
        <v>10163544</v>
      </c>
      <c r="B129">
        <v>2024</v>
      </c>
      <c r="C129" t="s">
        <v>191</v>
      </c>
      <c r="D129">
        <v>20101635440</v>
      </c>
      <c r="E129" t="s">
        <v>135</v>
      </c>
      <c r="F129">
        <v>600877.38558</v>
      </c>
    </row>
    <row r="130" spans="1:6" x14ac:dyDescent="0.25">
      <c r="A130">
        <v>20600146</v>
      </c>
      <c r="B130">
        <v>2024</v>
      </c>
      <c r="C130" t="s">
        <v>192</v>
      </c>
      <c r="D130">
        <v>20600146395</v>
      </c>
      <c r="E130" t="s">
        <v>137</v>
      </c>
      <c r="F130">
        <v>3309.09222</v>
      </c>
    </row>
    <row r="131" spans="1:6" x14ac:dyDescent="0.25">
      <c r="A131">
        <v>20133530</v>
      </c>
      <c r="B131">
        <v>2024</v>
      </c>
      <c r="C131" t="s">
        <v>193</v>
      </c>
      <c r="D131">
        <v>20133530003</v>
      </c>
      <c r="E131" t="s">
        <v>135</v>
      </c>
      <c r="F131">
        <v>34259.889470000002</v>
      </c>
    </row>
    <row r="132" spans="1:6" x14ac:dyDescent="0.25">
      <c r="A132">
        <v>20133530</v>
      </c>
      <c r="B132">
        <v>2025</v>
      </c>
      <c r="C132" t="s">
        <v>193</v>
      </c>
      <c r="D132">
        <v>20133530003</v>
      </c>
      <c r="E132" t="s">
        <v>135</v>
      </c>
      <c r="F132">
        <v>239794.7997</v>
      </c>
    </row>
    <row r="133" spans="1:6" x14ac:dyDescent="0.25">
      <c r="A133">
        <v>70193374</v>
      </c>
      <c r="B133">
        <v>2024</v>
      </c>
      <c r="C133" t="s">
        <v>368</v>
      </c>
      <c r="D133">
        <v>70193374</v>
      </c>
      <c r="E133" t="s">
        <v>363</v>
      </c>
      <c r="F133">
        <v>461.53707000000003</v>
      </c>
    </row>
    <row r="134" spans="1:6" x14ac:dyDescent="0.25">
      <c r="A134">
        <v>10244234</v>
      </c>
      <c r="B134">
        <v>2024</v>
      </c>
      <c r="C134" t="s">
        <v>194</v>
      </c>
      <c r="D134">
        <v>10026245805</v>
      </c>
      <c r="E134" t="s">
        <v>406</v>
      </c>
      <c r="F134">
        <v>14428.76694</v>
      </c>
    </row>
    <row r="135" spans="1:6" x14ac:dyDescent="0.25">
      <c r="A135">
        <v>10244234</v>
      </c>
      <c r="B135">
        <v>2025</v>
      </c>
      <c r="C135" t="s">
        <v>194</v>
      </c>
      <c r="D135">
        <v>10026245805</v>
      </c>
      <c r="E135" t="s">
        <v>406</v>
      </c>
      <c r="F135">
        <v>7340.1274999999996</v>
      </c>
    </row>
    <row r="136" spans="1:6" x14ac:dyDescent="0.25">
      <c r="A136">
        <v>20544691</v>
      </c>
      <c r="B136">
        <v>2024</v>
      </c>
      <c r="C136" t="s">
        <v>195</v>
      </c>
      <c r="D136">
        <v>20544691288</v>
      </c>
      <c r="E136" t="s">
        <v>137</v>
      </c>
      <c r="F136">
        <v>12029.89256</v>
      </c>
    </row>
    <row r="137" spans="1:6" x14ac:dyDescent="0.25">
      <c r="A137">
        <v>10053165295</v>
      </c>
      <c r="B137">
        <v>2024</v>
      </c>
      <c r="C137" t="s">
        <v>369</v>
      </c>
      <c r="D137">
        <v>10053165295</v>
      </c>
      <c r="E137" t="s">
        <v>363</v>
      </c>
      <c r="F137">
        <v>31.16</v>
      </c>
    </row>
    <row r="138" spans="1:6" x14ac:dyDescent="0.25">
      <c r="A138">
        <v>20535584</v>
      </c>
      <c r="B138">
        <v>2024</v>
      </c>
      <c r="C138" t="s">
        <v>196</v>
      </c>
      <c r="D138">
        <v>20535584452</v>
      </c>
      <c r="E138" t="s">
        <v>137</v>
      </c>
      <c r="F138">
        <v>14896.90497</v>
      </c>
    </row>
    <row r="139" spans="1:6" x14ac:dyDescent="0.25">
      <c r="A139">
        <v>20492356</v>
      </c>
      <c r="B139">
        <v>2024</v>
      </c>
      <c r="C139" t="s">
        <v>197</v>
      </c>
      <c r="D139">
        <v>20492356230</v>
      </c>
      <c r="E139" t="s">
        <v>137</v>
      </c>
      <c r="F139">
        <v>70205.810150000005</v>
      </c>
    </row>
    <row r="140" spans="1:6" x14ac:dyDescent="0.25">
      <c r="A140">
        <v>20492356</v>
      </c>
      <c r="B140">
        <v>2025</v>
      </c>
      <c r="C140" t="s">
        <v>197</v>
      </c>
      <c r="D140">
        <v>20492356230</v>
      </c>
      <c r="E140" t="s">
        <v>137</v>
      </c>
      <c r="F140">
        <v>58820.7261</v>
      </c>
    </row>
    <row r="141" spans="1:6" x14ac:dyDescent="0.25">
      <c r="A141">
        <v>20538829863</v>
      </c>
      <c r="B141">
        <v>2024</v>
      </c>
      <c r="C141" t="s">
        <v>85</v>
      </c>
      <c r="D141">
        <v>20538829863</v>
      </c>
      <c r="E141" t="s">
        <v>132</v>
      </c>
      <c r="F141">
        <v>237464.26965</v>
      </c>
    </row>
    <row r="142" spans="1:6" x14ac:dyDescent="0.25">
      <c r="A142">
        <v>20538829863</v>
      </c>
      <c r="B142">
        <v>2025</v>
      </c>
      <c r="C142" t="s">
        <v>85</v>
      </c>
      <c r="D142">
        <v>20538829863</v>
      </c>
      <c r="E142" t="s">
        <v>132</v>
      </c>
      <c r="F142">
        <v>10395.79961</v>
      </c>
    </row>
    <row r="143" spans="1:6" x14ac:dyDescent="0.25">
      <c r="A143">
        <v>20611258667</v>
      </c>
      <c r="B143">
        <v>2024</v>
      </c>
      <c r="C143" t="s">
        <v>198</v>
      </c>
      <c r="D143">
        <v>20611258667</v>
      </c>
      <c r="E143" t="s">
        <v>137</v>
      </c>
      <c r="F143">
        <v>56248.780189999998</v>
      </c>
    </row>
    <row r="144" spans="1:6" x14ac:dyDescent="0.25">
      <c r="A144">
        <v>20611258667</v>
      </c>
      <c r="B144">
        <v>2025</v>
      </c>
      <c r="C144" t="s">
        <v>198</v>
      </c>
      <c r="D144">
        <v>20611258667</v>
      </c>
      <c r="E144" t="s">
        <v>137</v>
      </c>
      <c r="F144">
        <v>26933.8986</v>
      </c>
    </row>
    <row r="145" spans="1:6" x14ac:dyDescent="0.25">
      <c r="A145">
        <v>20601468</v>
      </c>
      <c r="B145">
        <v>2024</v>
      </c>
      <c r="C145" t="s">
        <v>199</v>
      </c>
      <c r="D145">
        <v>20601468752</v>
      </c>
      <c r="E145" t="s">
        <v>406</v>
      </c>
      <c r="F145">
        <v>5133.0950499999999</v>
      </c>
    </row>
    <row r="146" spans="1:6" x14ac:dyDescent="0.25">
      <c r="A146">
        <v>20100957</v>
      </c>
      <c r="B146">
        <v>2024</v>
      </c>
      <c r="C146" t="s">
        <v>200</v>
      </c>
      <c r="D146">
        <v>20100957435</v>
      </c>
      <c r="E146" t="s">
        <v>132</v>
      </c>
      <c r="F146">
        <v>51635.321049999999</v>
      </c>
    </row>
    <row r="147" spans="1:6" x14ac:dyDescent="0.25">
      <c r="A147">
        <v>20100957</v>
      </c>
      <c r="B147">
        <v>2025</v>
      </c>
      <c r="C147" t="s">
        <v>200</v>
      </c>
      <c r="D147">
        <v>20100957435</v>
      </c>
      <c r="E147" t="s">
        <v>132</v>
      </c>
      <c r="F147">
        <v>23114.374650000002</v>
      </c>
    </row>
    <row r="148" spans="1:6" x14ac:dyDescent="0.25">
      <c r="A148">
        <v>20600139</v>
      </c>
      <c r="B148">
        <v>2024</v>
      </c>
      <c r="C148" t="s">
        <v>201</v>
      </c>
      <c r="D148">
        <v>20600139348</v>
      </c>
      <c r="E148" t="s">
        <v>137</v>
      </c>
      <c r="F148">
        <v>57023.852619999998</v>
      </c>
    </row>
    <row r="149" spans="1:6" x14ac:dyDescent="0.25">
      <c r="A149">
        <v>20600139</v>
      </c>
      <c r="B149">
        <v>2025</v>
      </c>
      <c r="C149" t="s">
        <v>201</v>
      </c>
      <c r="D149">
        <v>20600139348</v>
      </c>
      <c r="E149" t="s">
        <v>137</v>
      </c>
      <c r="F149">
        <v>3270.5039999999999</v>
      </c>
    </row>
    <row r="150" spans="1:6" x14ac:dyDescent="0.25">
      <c r="A150">
        <v>20536252</v>
      </c>
      <c r="B150">
        <v>2024</v>
      </c>
      <c r="C150" t="s">
        <v>370</v>
      </c>
      <c r="D150">
        <v>20536252666</v>
      </c>
      <c r="E150" t="s">
        <v>363</v>
      </c>
      <c r="F150">
        <v>3229.0596</v>
      </c>
    </row>
    <row r="151" spans="1:6" x14ac:dyDescent="0.25">
      <c r="A151">
        <v>43492376</v>
      </c>
      <c r="B151">
        <v>2024</v>
      </c>
      <c r="C151" t="s">
        <v>371</v>
      </c>
      <c r="D151">
        <v>43492376</v>
      </c>
      <c r="E151" t="s">
        <v>363</v>
      </c>
      <c r="F151">
        <v>728.14399000000003</v>
      </c>
    </row>
    <row r="152" spans="1:6" x14ac:dyDescent="0.25">
      <c r="A152">
        <v>20557062719</v>
      </c>
      <c r="B152">
        <v>2024</v>
      </c>
      <c r="C152" t="s">
        <v>202</v>
      </c>
      <c r="D152">
        <v>20557062719</v>
      </c>
      <c r="E152" t="s">
        <v>137</v>
      </c>
      <c r="F152">
        <v>9873.3732400000008</v>
      </c>
    </row>
    <row r="153" spans="1:6" x14ac:dyDescent="0.25">
      <c r="A153">
        <v>20536828</v>
      </c>
      <c r="B153">
        <v>2024</v>
      </c>
      <c r="C153" t="s">
        <v>90</v>
      </c>
      <c r="D153">
        <v>20536828631</v>
      </c>
      <c r="E153" t="s">
        <v>132</v>
      </c>
      <c r="F153">
        <v>20232.674009999999</v>
      </c>
    </row>
    <row r="154" spans="1:6" x14ac:dyDescent="0.25">
      <c r="A154">
        <v>20536828</v>
      </c>
      <c r="B154">
        <v>2025</v>
      </c>
      <c r="C154" t="s">
        <v>90</v>
      </c>
      <c r="D154">
        <v>20536828631</v>
      </c>
      <c r="E154" t="s">
        <v>132</v>
      </c>
      <c r="F154">
        <v>2410.6366400000002</v>
      </c>
    </row>
    <row r="155" spans="1:6" x14ac:dyDescent="0.25">
      <c r="A155">
        <v>10178331138</v>
      </c>
      <c r="B155">
        <v>2025</v>
      </c>
      <c r="C155" t="s">
        <v>412</v>
      </c>
      <c r="D155">
        <v>10178331138</v>
      </c>
      <c r="E155" t="s">
        <v>406</v>
      </c>
      <c r="F155">
        <v>3274.0458800000001</v>
      </c>
    </row>
    <row r="156" spans="1:6" x14ac:dyDescent="0.25">
      <c r="A156">
        <v>20536444</v>
      </c>
      <c r="B156">
        <v>2024</v>
      </c>
      <c r="C156" t="s">
        <v>203</v>
      </c>
      <c r="D156">
        <v>20536444816</v>
      </c>
      <c r="E156" t="s">
        <v>406</v>
      </c>
      <c r="F156">
        <v>35523.948759999999</v>
      </c>
    </row>
    <row r="157" spans="1:6" x14ac:dyDescent="0.25">
      <c r="A157">
        <v>20536444</v>
      </c>
      <c r="B157">
        <v>2025</v>
      </c>
      <c r="C157" t="s">
        <v>203</v>
      </c>
      <c r="D157">
        <v>20536444816</v>
      </c>
      <c r="E157" t="s">
        <v>406</v>
      </c>
      <c r="F157">
        <v>6527.0931300000002</v>
      </c>
    </row>
    <row r="158" spans="1:6" x14ac:dyDescent="0.25">
      <c r="A158">
        <v>20603670320</v>
      </c>
      <c r="B158">
        <v>2024</v>
      </c>
      <c r="C158" t="s">
        <v>106</v>
      </c>
      <c r="D158">
        <v>20603670320</v>
      </c>
      <c r="E158" t="s">
        <v>132</v>
      </c>
      <c r="F158">
        <v>4202.3314399999999</v>
      </c>
    </row>
    <row r="159" spans="1:6" x14ac:dyDescent="0.25">
      <c r="A159">
        <v>20485869</v>
      </c>
      <c r="B159">
        <v>2025</v>
      </c>
      <c r="C159" t="s">
        <v>204</v>
      </c>
      <c r="D159">
        <v>20485869370</v>
      </c>
      <c r="E159" t="s">
        <v>406</v>
      </c>
      <c r="F159">
        <v>10365.99015</v>
      </c>
    </row>
    <row r="160" spans="1:6" x14ac:dyDescent="0.25">
      <c r="A160">
        <v>20538303152</v>
      </c>
      <c r="B160">
        <v>2025</v>
      </c>
      <c r="C160" t="s">
        <v>372</v>
      </c>
      <c r="D160">
        <v>20538303152</v>
      </c>
      <c r="E160" t="s">
        <v>363</v>
      </c>
      <c r="F160">
        <v>5556.87</v>
      </c>
    </row>
    <row r="161" spans="1:6" x14ac:dyDescent="0.25">
      <c r="A161">
        <v>20604863342</v>
      </c>
      <c r="B161">
        <v>2024</v>
      </c>
      <c r="C161" t="s">
        <v>205</v>
      </c>
      <c r="D161">
        <v>20604863342</v>
      </c>
      <c r="E161" t="s">
        <v>137</v>
      </c>
      <c r="F161">
        <v>37231.742429999998</v>
      </c>
    </row>
    <row r="162" spans="1:6" x14ac:dyDescent="0.25">
      <c r="A162">
        <v>20609688531</v>
      </c>
      <c r="B162">
        <v>2024</v>
      </c>
      <c r="C162" t="s">
        <v>206</v>
      </c>
      <c r="D162">
        <v>20609688531</v>
      </c>
      <c r="E162" t="s">
        <v>137</v>
      </c>
      <c r="F162">
        <v>15791.8107</v>
      </c>
    </row>
    <row r="163" spans="1:6" x14ac:dyDescent="0.25">
      <c r="A163">
        <v>20609688531</v>
      </c>
      <c r="B163">
        <v>2025</v>
      </c>
      <c r="C163" t="s">
        <v>206</v>
      </c>
      <c r="D163">
        <v>20609688531</v>
      </c>
      <c r="E163" t="s">
        <v>137</v>
      </c>
      <c r="F163">
        <v>3579.01</v>
      </c>
    </row>
    <row r="164" spans="1:6" x14ac:dyDescent="0.25">
      <c r="A164">
        <v>10024439</v>
      </c>
      <c r="B164">
        <v>2024</v>
      </c>
      <c r="C164" t="s">
        <v>207</v>
      </c>
      <c r="D164">
        <v>20100244391</v>
      </c>
      <c r="E164" t="s">
        <v>137</v>
      </c>
      <c r="F164">
        <v>830478.57513000001</v>
      </c>
    </row>
    <row r="165" spans="1:6" x14ac:dyDescent="0.25">
      <c r="A165">
        <v>10024439</v>
      </c>
      <c r="B165">
        <v>2025</v>
      </c>
      <c r="C165" t="s">
        <v>207</v>
      </c>
      <c r="D165">
        <v>20100244391</v>
      </c>
      <c r="E165" t="s">
        <v>137</v>
      </c>
      <c r="F165">
        <v>267632.82582000003</v>
      </c>
    </row>
    <row r="166" spans="1:6" x14ac:dyDescent="0.25">
      <c r="A166">
        <v>10427126973</v>
      </c>
      <c r="B166">
        <v>2025</v>
      </c>
      <c r="C166" t="s">
        <v>357</v>
      </c>
      <c r="D166">
        <v>10427126973</v>
      </c>
      <c r="E166" t="s">
        <v>135</v>
      </c>
      <c r="F166">
        <v>20735.14227</v>
      </c>
    </row>
    <row r="167" spans="1:6" x14ac:dyDescent="0.25">
      <c r="A167">
        <v>20604090351</v>
      </c>
      <c r="B167">
        <v>2024</v>
      </c>
      <c r="C167" t="s">
        <v>25</v>
      </c>
      <c r="D167">
        <v>20604090351</v>
      </c>
      <c r="E167" t="s">
        <v>132</v>
      </c>
      <c r="F167">
        <v>136220.93979999999</v>
      </c>
    </row>
    <row r="168" spans="1:6" x14ac:dyDescent="0.25">
      <c r="A168">
        <v>20604090351</v>
      </c>
      <c r="B168">
        <v>2025</v>
      </c>
      <c r="C168" t="s">
        <v>25</v>
      </c>
      <c r="D168">
        <v>20604090351</v>
      </c>
      <c r="E168" t="s">
        <v>132</v>
      </c>
      <c r="F168">
        <v>47444.857459999999</v>
      </c>
    </row>
    <row r="169" spans="1:6" x14ac:dyDescent="0.25">
      <c r="A169">
        <v>10225131</v>
      </c>
      <c r="B169">
        <v>2024</v>
      </c>
      <c r="C169" t="s">
        <v>208</v>
      </c>
      <c r="D169">
        <v>10225131983</v>
      </c>
      <c r="E169" t="s">
        <v>406</v>
      </c>
      <c r="F169">
        <v>1256.6400000000001</v>
      </c>
    </row>
    <row r="170" spans="1:6" x14ac:dyDescent="0.25">
      <c r="A170">
        <v>10225131</v>
      </c>
      <c r="B170">
        <v>2025</v>
      </c>
      <c r="C170" t="s">
        <v>208</v>
      </c>
      <c r="D170">
        <v>10225131983</v>
      </c>
      <c r="E170" t="s">
        <v>406</v>
      </c>
      <c r="F170">
        <v>1602.81017</v>
      </c>
    </row>
    <row r="171" spans="1:6" x14ac:dyDescent="0.25">
      <c r="A171">
        <v>20378092</v>
      </c>
      <c r="B171">
        <v>2024</v>
      </c>
      <c r="C171" t="s">
        <v>209</v>
      </c>
      <c r="D171">
        <v>20378092419</v>
      </c>
      <c r="E171" t="s">
        <v>132</v>
      </c>
      <c r="F171">
        <v>39009.190799999997</v>
      </c>
    </row>
    <row r="172" spans="1:6" x14ac:dyDescent="0.25">
      <c r="A172">
        <v>8260401</v>
      </c>
      <c r="B172">
        <v>2024</v>
      </c>
      <c r="C172" t="s">
        <v>373</v>
      </c>
      <c r="D172">
        <v>8260400</v>
      </c>
      <c r="E172" t="s">
        <v>363</v>
      </c>
      <c r="F172">
        <v>1551.38</v>
      </c>
    </row>
    <row r="173" spans="1:6" x14ac:dyDescent="0.25">
      <c r="A173">
        <v>8260401</v>
      </c>
      <c r="B173">
        <v>2025</v>
      </c>
      <c r="C173" t="s">
        <v>373</v>
      </c>
      <c r="D173">
        <v>8260400</v>
      </c>
      <c r="E173" t="s">
        <v>363</v>
      </c>
      <c r="F173">
        <v>443.47</v>
      </c>
    </row>
    <row r="174" spans="1:6" x14ac:dyDescent="0.25">
      <c r="A174">
        <v>8260400</v>
      </c>
      <c r="B174">
        <v>2024</v>
      </c>
      <c r="C174" t="s">
        <v>374</v>
      </c>
      <c r="D174">
        <v>10082604001</v>
      </c>
      <c r="E174" t="s">
        <v>363</v>
      </c>
      <c r="F174">
        <v>155.80000000000001</v>
      </c>
    </row>
    <row r="175" spans="1:6" x14ac:dyDescent="0.25">
      <c r="A175">
        <v>10462331</v>
      </c>
      <c r="B175">
        <v>2024</v>
      </c>
      <c r="C175" t="s">
        <v>375</v>
      </c>
      <c r="D175">
        <v>10462331601</v>
      </c>
      <c r="E175" t="s">
        <v>376</v>
      </c>
      <c r="F175">
        <v>155.80000000000001</v>
      </c>
    </row>
    <row r="176" spans="1:6" x14ac:dyDescent="0.25">
      <c r="A176">
        <v>20613061836</v>
      </c>
      <c r="B176">
        <v>2024</v>
      </c>
      <c r="C176" t="s">
        <v>210</v>
      </c>
      <c r="D176">
        <v>20613061836</v>
      </c>
      <c r="E176" t="s">
        <v>132</v>
      </c>
      <c r="F176">
        <v>1294.8983900000001</v>
      </c>
    </row>
    <row r="177" spans="1:6" x14ac:dyDescent="0.25">
      <c r="A177">
        <v>10072373</v>
      </c>
      <c r="B177">
        <v>2024</v>
      </c>
      <c r="C177" t="s">
        <v>377</v>
      </c>
      <c r="D177">
        <v>10072373800</v>
      </c>
      <c r="E177" t="s">
        <v>363</v>
      </c>
      <c r="F177">
        <v>45</v>
      </c>
    </row>
    <row r="178" spans="1:6" x14ac:dyDescent="0.25">
      <c r="A178">
        <v>20100231</v>
      </c>
      <c r="B178">
        <v>2024</v>
      </c>
      <c r="C178" t="s">
        <v>14</v>
      </c>
      <c r="D178">
        <v>20100231817</v>
      </c>
      <c r="E178" t="s">
        <v>406</v>
      </c>
      <c r="F178">
        <v>1132856.1568799999</v>
      </c>
    </row>
    <row r="179" spans="1:6" x14ac:dyDescent="0.25">
      <c r="A179">
        <v>20100231</v>
      </c>
      <c r="B179">
        <v>2025</v>
      </c>
      <c r="C179" t="s">
        <v>14</v>
      </c>
      <c r="D179">
        <v>20100231817</v>
      </c>
      <c r="E179" t="s">
        <v>406</v>
      </c>
      <c r="F179">
        <v>410713.09276999999</v>
      </c>
    </row>
    <row r="180" spans="1:6" x14ac:dyDescent="0.25">
      <c r="A180">
        <v>20547703325</v>
      </c>
      <c r="B180">
        <v>2024</v>
      </c>
      <c r="C180" t="s">
        <v>211</v>
      </c>
      <c r="D180">
        <v>20547703325</v>
      </c>
      <c r="E180" t="s">
        <v>132</v>
      </c>
      <c r="F180">
        <v>114650.45088999999</v>
      </c>
    </row>
    <row r="181" spans="1:6" x14ac:dyDescent="0.25">
      <c r="A181">
        <v>20515341</v>
      </c>
      <c r="B181">
        <v>2025</v>
      </c>
      <c r="C181" t="s">
        <v>59</v>
      </c>
      <c r="D181">
        <v>20515341073</v>
      </c>
      <c r="E181" t="s">
        <v>132</v>
      </c>
      <c r="F181">
        <v>125611.49479</v>
      </c>
    </row>
    <row r="182" spans="1:6" x14ac:dyDescent="0.25">
      <c r="A182">
        <v>20606477261</v>
      </c>
      <c r="B182">
        <v>2024</v>
      </c>
      <c r="C182" t="s">
        <v>212</v>
      </c>
      <c r="D182">
        <v>20606477261</v>
      </c>
      <c r="E182" t="s">
        <v>137</v>
      </c>
      <c r="F182">
        <v>24974.47667</v>
      </c>
    </row>
    <row r="183" spans="1:6" x14ac:dyDescent="0.25">
      <c r="A183">
        <v>20606477261</v>
      </c>
      <c r="B183">
        <v>2025</v>
      </c>
      <c r="C183" t="s">
        <v>212</v>
      </c>
      <c r="D183">
        <v>20606477261</v>
      </c>
      <c r="E183" t="s">
        <v>137</v>
      </c>
      <c r="F183">
        <v>7185.6171000000004</v>
      </c>
    </row>
    <row r="184" spans="1:6" x14ac:dyDescent="0.25">
      <c r="A184">
        <v>10082972582</v>
      </c>
      <c r="B184">
        <v>2024</v>
      </c>
      <c r="C184" t="s">
        <v>213</v>
      </c>
      <c r="D184">
        <v>10082972582</v>
      </c>
      <c r="E184" t="s">
        <v>132</v>
      </c>
      <c r="F184">
        <v>3584.3993999999998</v>
      </c>
    </row>
    <row r="185" spans="1:6" x14ac:dyDescent="0.25">
      <c r="A185">
        <v>20507733</v>
      </c>
      <c r="B185">
        <v>2024</v>
      </c>
      <c r="C185" t="s">
        <v>214</v>
      </c>
      <c r="D185">
        <v>20507733027</v>
      </c>
      <c r="E185" t="s">
        <v>135</v>
      </c>
      <c r="F185">
        <v>25526.011470000001</v>
      </c>
    </row>
    <row r="186" spans="1:6" x14ac:dyDescent="0.25">
      <c r="A186">
        <v>20507733</v>
      </c>
      <c r="B186">
        <v>2025</v>
      </c>
      <c r="C186" t="s">
        <v>214</v>
      </c>
      <c r="D186">
        <v>20507733027</v>
      </c>
      <c r="E186" t="s">
        <v>135</v>
      </c>
      <c r="F186">
        <v>6209.7333099999996</v>
      </c>
    </row>
    <row r="187" spans="1:6" x14ac:dyDescent="0.25">
      <c r="A187">
        <v>20603740069</v>
      </c>
      <c r="B187">
        <v>2024</v>
      </c>
      <c r="C187" t="s">
        <v>215</v>
      </c>
      <c r="D187">
        <v>20603740069</v>
      </c>
      <c r="E187" t="s">
        <v>137</v>
      </c>
      <c r="F187">
        <v>1013.11574</v>
      </c>
    </row>
    <row r="188" spans="1:6" x14ac:dyDescent="0.25">
      <c r="A188">
        <v>20603740069</v>
      </c>
      <c r="B188">
        <v>2025</v>
      </c>
      <c r="C188" t="s">
        <v>215</v>
      </c>
      <c r="D188">
        <v>20603740069</v>
      </c>
      <c r="E188" t="s">
        <v>137</v>
      </c>
      <c r="F188">
        <v>1007.8716899999999</v>
      </c>
    </row>
    <row r="189" spans="1:6" x14ac:dyDescent="0.25">
      <c r="A189">
        <v>20610414584</v>
      </c>
      <c r="B189">
        <v>2024</v>
      </c>
      <c r="C189" t="s">
        <v>216</v>
      </c>
      <c r="D189">
        <v>20610414584</v>
      </c>
      <c r="E189" t="s">
        <v>135</v>
      </c>
      <c r="F189">
        <v>22214.29754</v>
      </c>
    </row>
    <row r="190" spans="1:6" x14ac:dyDescent="0.25">
      <c r="A190">
        <v>25195264</v>
      </c>
      <c r="B190">
        <v>2024</v>
      </c>
      <c r="C190" t="s">
        <v>44</v>
      </c>
      <c r="D190">
        <v>20251952648</v>
      </c>
      <c r="E190" t="s">
        <v>406</v>
      </c>
      <c r="F190">
        <v>633331.8628</v>
      </c>
    </row>
    <row r="191" spans="1:6" x14ac:dyDescent="0.25">
      <c r="A191">
        <v>25195264</v>
      </c>
      <c r="B191">
        <v>2025</v>
      </c>
      <c r="C191" t="s">
        <v>44</v>
      </c>
      <c r="D191">
        <v>20251952648</v>
      </c>
      <c r="E191" t="s">
        <v>406</v>
      </c>
      <c r="F191">
        <v>363867.97110000002</v>
      </c>
    </row>
    <row r="192" spans="1:6" x14ac:dyDescent="0.25">
      <c r="A192">
        <v>20519454921</v>
      </c>
      <c r="B192">
        <v>2024</v>
      </c>
      <c r="C192" t="s">
        <v>358</v>
      </c>
      <c r="D192">
        <v>20519454921</v>
      </c>
      <c r="E192" t="s">
        <v>132</v>
      </c>
      <c r="F192">
        <v>19349.202669999999</v>
      </c>
    </row>
    <row r="193" spans="1:6" x14ac:dyDescent="0.25">
      <c r="A193">
        <v>20504987</v>
      </c>
      <c r="B193">
        <v>2025</v>
      </c>
      <c r="C193" t="s">
        <v>217</v>
      </c>
      <c r="D193">
        <v>20504987605</v>
      </c>
      <c r="E193" t="s">
        <v>406</v>
      </c>
      <c r="F193">
        <v>4752.9675100000004</v>
      </c>
    </row>
    <row r="194" spans="1:6" x14ac:dyDescent="0.25">
      <c r="A194">
        <v>10472328056</v>
      </c>
      <c r="B194">
        <v>2024</v>
      </c>
      <c r="C194" t="s">
        <v>218</v>
      </c>
      <c r="D194">
        <v>10472328056</v>
      </c>
      <c r="E194" t="s">
        <v>406</v>
      </c>
      <c r="F194">
        <v>16362.23065</v>
      </c>
    </row>
    <row r="195" spans="1:6" x14ac:dyDescent="0.25">
      <c r="A195">
        <v>10472328056</v>
      </c>
      <c r="B195">
        <v>2025</v>
      </c>
      <c r="C195" t="s">
        <v>218</v>
      </c>
      <c r="D195">
        <v>10472328056</v>
      </c>
      <c r="E195" t="s">
        <v>406</v>
      </c>
      <c r="F195">
        <v>4902.2546700000003</v>
      </c>
    </row>
    <row r="196" spans="1:6" x14ac:dyDescent="0.25">
      <c r="A196">
        <v>10094116878</v>
      </c>
      <c r="B196">
        <v>2024</v>
      </c>
      <c r="C196" t="s">
        <v>219</v>
      </c>
      <c r="D196">
        <v>10094116878</v>
      </c>
      <c r="E196" t="s">
        <v>137</v>
      </c>
      <c r="F196">
        <v>9129.9305399999994</v>
      </c>
    </row>
    <row r="197" spans="1:6" x14ac:dyDescent="0.25">
      <c r="A197">
        <v>10094116878</v>
      </c>
      <c r="B197">
        <v>2025</v>
      </c>
      <c r="C197" t="s">
        <v>219</v>
      </c>
      <c r="D197">
        <v>10094116878</v>
      </c>
      <c r="E197" t="s">
        <v>137</v>
      </c>
      <c r="F197">
        <v>2939.3159599999999</v>
      </c>
    </row>
    <row r="198" spans="1:6" x14ac:dyDescent="0.25">
      <c r="A198">
        <v>10295286496</v>
      </c>
      <c r="B198">
        <v>2024</v>
      </c>
      <c r="C198" t="s">
        <v>220</v>
      </c>
      <c r="D198">
        <v>10295286496</v>
      </c>
      <c r="E198" t="s">
        <v>406</v>
      </c>
      <c r="F198">
        <v>2672.0648099999999</v>
      </c>
    </row>
    <row r="199" spans="1:6" x14ac:dyDescent="0.25">
      <c r="A199">
        <v>20607851051</v>
      </c>
      <c r="B199">
        <v>2024</v>
      </c>
      <c r="C199" t="s">
        <v>221</v>
      </c>
      <c r="D199">
        <v>20607851051</v>
      </c>
      <c r="E199" t="s">
        <v>137</v>
      </c>
      <c r="F199">
        <v>3732.6900799999999</v>
      </c>
    </row>
    <row r="200" spans="1:6" x14ac:dyDescent="0.25">
      <c r="A200">
        <v>10238611640</v>
      </c>
      <c r="B200">
        <v>2024</v>
      </c>
      <c r="C200" t="s">
        <v>222</v>
      </c>
      <c r="D200">
        <v>10238611640</v>
      </c>
      <c r="E200" t="s">
        <v>406</v>
      </c>
      <c r="F200">
        <v>7729.3204100000003</v>
      </c>
    </row>
    <row r="201" spans="1:6" x14ac:dyDescent="0.25">
      <c r="A201">
        <v>10238611640</v>
      </c>
      <c r="B201">
        <v>2025</v>
      </c>
      <c r="C201" t="s">
        <v>222</v>
      </c>
      <c r="D201">
        <v>10238611640</v>
      </c>
      <c r="E201" t="s">
        <v>406</v>
      </c>
      <c r="F201">
        <v>1782.79052</v>
      </c>
    </row>
    <row r="202" spans="1:6" x14ac:dyDescent="0.25">
      <c r="A202">
        <v>20609106833</v>
      </c>
      <c r="B202">
        <v>2024</v>
      </c>
      <c r="C202" t="s">
        <v>223</v>
      </c>
      <c r="D202">
        <v>20609106833</v>
      </c>
      <c r="E202" t="s">
        <v>137</v>
      </c>
      <c r="F202">
        <v>29995.206310000001</v>
      </c>
    </row>
    <row r="203" spans="1:6" x14ac:dyDescent="0.25">
      <c r="A203">
        <v>20604087199</v>
      </c>
      <c r="B203">
        <v>2025</v>
      </c>
      <c r="C203" t="s">
        <v>224</v>
      </c>
      <c r="D203">
        <v>20604087199</v>
      </c>
      <c r="E203" t="s">
        <v>132</v>
      </c>
      <c r="F203">
        <v>6268.03874</v>
      </c>
    </row>
    <row r="204" spans="1:6" x14ac:dyDescent="0.25">
      <c r="A204">
        <v>20418108</v>
      </c>
      <c r="B204">
        <v>2024</v>
      </c>
      <c r="C204" t="s">
        <v>98</v>
      </c>
      <c r="D204">
        <v>20418108151</v>
      </c>
      <c r="E204" t="s">
        <v>132</v>
      </c>
      <c r="F204">
        <v>5112.7085999999999</v>
      </c>
    </row>
    <row r="205" spans="1:6" x14ac:dyDescent="0.25">
      <c r="A205">
        <v>76454841</v>
      </c>
      <c r="B205">
        <v>2024</v>
      </c>
      <c r="C205" t="s">
        <v>225</v>
      </c>
      <c r="D205">
        <v>76454841</v>
      </c>
      <c r="E205" t="s">
        <v>137</v>
      </c>
      <c r="F205">
        <v>13961.707200000001</v>
      </c>
    </row>
    <row r="206" spans="1:6" x14ac:dyDescent="0.25">
      <c r="A206">
        <v>20600698</v>
      </c>
      <c r="B206">
        <v>2024</v>
      </c>
      <c r="C206" t="s">
        <v>226</v>
      </c>
      <c r="D206">
        <v>20600698118</v>
      </c>
      <c r="E206" t="s">
        <v>135</v>
      </c>
      <c r="F206">
        <v>5037.2833600000004</v>
      </c>
    </row>
    <row r="207" spans="1:6" x14ac:dyDescent="0.25">
      <c r="A207">
        <v>6915732</v>
      </c>
      <c r="B207">
        <v>2024</v>
      </c>
      <c r="C207" t="s">
        <v>102</v>
      </c>
      <c r="D207">
        <v>6915732</v>
      </c>
      <c r="E207" t="s">
        <v>132</v>
      </c>
      <c r="F207">
        <v>33388.630499999999</v>
      </c>
    </row>
    <row r="208" spans="1:6" x14ac:dyDescent="0.25">
      <c r="A208">
        <v>6915732</v>
      </c>
      <c r="B208">
        <v>2025</v>
      </c>
      <c r="C208" t="s">
        <v>102</v>
      </c>
      <c r="D208">
        <v>6915732</v>
      </c>
      <c r="E208" t="s">
        <v>132</v>
      </c>
      <c r="F208">
        <v>5858.1203999999998</v>
      </c>
    </row>
    <row r="209" spans="1:6" x14ac:dyDescent="0.25">
      <c r="A209">
        <v>10020382</v>
      </c>
      <c r="B209">
        <v>2024</v>
      </c>
      <c r="C209" t="s">
        <v>227</v>
      </c>
      <c r="D209">
        <v>10020382762</v>
      </c>
      <c r="E209" t="s">
        <v>406</v>
      </c>
      <c r="F209">
        <v>5021.6400000000003</v>
      </c>
    </row>
    <row r="210" spans="1:6" x14ac:dyDescent="0.25">
      <c r="A210">
        <v>10020382</v>
      </c>
      <c r="B210">
        <v>2025</v>
      </c>
      <c r="C210" t="s">
        <v>227</v>
      </c>
      <c r="D210">
        <v>10020382762</v>
      </c>
      <c r="E210" t="s">
        <v>406</v>
      </c>
      <c r="F210">
        <v>3145.8240000000001</v>
      </c>
    </row>
    <row r="211" spans="1:6" x14ac:dyDescent="0.25">
      <c r="A211">
        <v>20545204097</v>
      </c>
      <c r="B211">
        <v>2024</v>
      </c>
      <c r="C211" t="s">
        <v>228</v>
      </c>
      <c r="D211">
        <v>20545204097</v>
      </c>
      <c r="E211" t="s">
        <v>135</v>
      </c>
      <c r="F211">
        <v>13386.836160000001</v>
      </c>
    </row>
    <row r="212" spans="1:6" x14ac:dyDescent="0.25">
      <c r="A212">
        <v>20545204097</v>
      </c>
      <c r="B212">
        <v>2025</v>
      </c>
      <c r="C212" t="s">
        <v>228</v>
      </c>
      <c r="D212">
        <v>20545204097</v>
      </c>
      <c r="E212" t="s">
        <v>135</v>
      </c>
      <c r="F212">
        <v>31516.48504</v>
      </c>
    </row>
    <row r="213" spans="1:6" x14ac:dyDescent="0.25">
      <c r="A213">
        <v>20606070579</v>
      </c>
      <c r="B213">
        <v>2024</v>
      </c>
      <c r="C213" t="s">
        <v>229</v>
      </c>
      <c r="D213">
        <v>20606070579</v>
      </c>
      <c r="E213" t="s">
        <v>137</v>
      </c>
      <c r="F213">
        <v>72393.682570000004</v>
      </c>
    </row>
    <row r="214" spans="1:6" x14ac:dyDescent="0.25">
      <c r="A214">
        <v>20609660326</v>
      </c>
      <c r="B214">
        <v>2024</v>
      </c>
      <c r="C214" t="s">
        <v>230</v>
      </c>
      <c r="D214">
        <v>20609660326</v>
      </c>
      <c r="E214" t="s">
        <v>137</v>
      </c>
      <c r="F214">
        <v>43622.069759999998</v>
      </c>
    </row>
    <row r="215" spans="1:6" x14ac:dyDescent="0.25">
      <c r="A215">
        <v>20609660326</v>
      </c>
      <c r="B215">
        <v>2025</v>
      </c>
      <c r="C215" t="s">
        <v>230</v>
      </c>
      <c r="D215">
        <v>20609660326</v>
      </c>
      <c r="E215" t="s">
        <v>137</v>
      </c>
      <c r="F215">
        <v>62932.187760000001</v>
      </c>
    </row>
    <row r="216" spans="1:6" x14ac:dyDescent="0.25">
      <c r="A216">
        <v>20513276835</v>
      </c>
      <c r="B216">
        <v>2024</v>
      </c>
      <c r="C216" t="s">
        <v>231</v>
      </c>
      <c r="D216">
        <v>20513276835</v>
      </c>
      <c r="E216" t="s">
        <v>137</v>
      </c>
      <c r="F216">
        <v>5253.6766100000004</v>
      </c>
    </row>
    <row r="217" spans="1:6" x14ac:dyDescent="0.25">
      <c r="A217">
        <v>20513276835</v>
      </c>
      <c r="B217">
        <v>2025</v>
      </c>
      <c r="C217" t="s">
        <v>231</v>
      </c>
      <c r="D217">
        <v>20513276835</v>
      </c>
      <c r="E217" t="s">
        <v>137</v>
      </c>
      <c r="F217">
        <v>10.714079999999999</v>
      </c>
    </row>
    <row r="218" spans="1:6" x14ac:dyDescent="0.25">
      <c r="A218">
        <v>20611258641</v>
      </c>
      <c r="B218">
        <v>2024</v>
      </c>
      <c r="C218" t="s">
        <v>232</v>
      </c>
      <c r="D218">
        <v>20611258641</v>
      </c>
      <c r="E218" t="s">
        <v>137</v>
      </c>
      <c r="F218">
        <v>3651.2820000000002</v>
      </c>
    </row>
    <row r="219" spans="1:6" x14ac:dyDescent="0.25">
      <c r="A219">
        <v>20611258641</v>
      </c>
      <c r="B219">
        <v>2025</v>
      </c>
      <c r="C219" t="s">
        <v>232</v>
      </c>
      <c r="D219">
        <v>20611258641</v>
      </c>
      <c r="E219" t="s">
        <v>137</v>
      </c>
      <c r="F219">
        <v>3940.8152500000001</v>
      </c>
    </row>
    <row r="220" spans="1:6" x14ac:dyDescent="0.25">
      <c r="A220">
        <v>20557952315</v>
      </c>
      <c r="B220">
        <v>2025</v>
      </c>
      <c r="C220" t="s">
        <v>65</v>
      </c>
      <c r="D220">
        <v>20557952315</v>
      </c>
      <c r="E220" t="s">
        <v>137</v>
      </c>
      <c r="F220">
        <v>4182.3320000000003</v>
      </c>
    </row>
    <row r="221" spans="1:6" x14ac:dyDescent="0.25">
      <c r="A221">
        <v>20609977044</v>
      </c>
      <c r="B221">
        <v>2024</v>
      </c>
      <c r="C221" t="s">
        <v>233</v>
      </c>
      <c r="D221">
        <v>20609977044</v>
      </c>
      <c r="E221" t="s">
        <v>137</v>
      </c>
      <c r="F221">
        <v>1879.5150000000001</v>
      </c>
    </row>
    <row r="222" spans="1:6" x14ac:dyDescent="0.25">
      <c r="A222">
        <v>20100199</v>
      </c>
      <c r="B222">
        <v>2024</v>
      </c>
      <c r="C222" t="s">
        <v>234</v>
      </c>
      <c r="D222">
        <v>20100199743</v>
      </c>
      <c r="E222" t="s">
        <v>406</v>
      </c>
      <c r="F222">
        <v>1080686.85751</v>
      </c>
    </row>
    <row r="223" spans="1:6" x14ac:dyDescent="0.25">
      <c r="A223">
        <v>20100199</v>
      </c>
      <c r="B223">
        <v>2025</v>
      </c>
      <c r="C223" t="s">
        <v>234</v>
      </c>
      <c r="D223">
        <v>20100199743</v>
      </c>
      <c r="E223" t="s">
        <v>406</v>
      </c>
      <c r="F223">
        <v>522440.04554999998</v>
      </c>
    </row>
    <row r="224" spans="1:6" x14ac:dyDescent="0.25">
      <c r="A224">
        <v>20100226</v>
      </c>
      <c r="B224">
        <v>2024</v>
      </c>
      <c r="C224" t="s">
        <v>36</v>
      </c>
      <c r="D224">
        <v>20100226813</v>
      </c>
      <c r="E224" t="s">
        <v>406</v>
      </c>
      <c r="F224">
        <v>300023.44040000002</v>
      </c>
    </row>
    <row r="225" spans="1:6" x14ac:dyDescent="0.25">
      <c r="A225">
        <v>20100226</v>
      </c>
      <c r="B225">
        <v>2025</v>
      </c>
      <c r="C225" t="s">
        <v>36</v>
      </c>
      <c r="D225">
        <v>20100226813</v>
      </c>
      <c r="E225" t="s">
        <v>406</v>
      </c>
      <c r="F225">
        <v>166829.71236999999</v>
      </c>
    </row>
    <row r="226" spans="1:6" x14ac:dyDescent="0.25">
      <c r="A226">
        <v>20102048106</v>
      </c>
      <c r="B226">
        <v>2024</v>
      </c>
      <c r="C226" t="s">
        <v>108</v>
      </c>
      <c r="D226">
        <v>20102048106</v>
      </c>
      <c r="E226" t="s">
        <v>132</v>
      </c>
      <c r="F226">
        <v>5755.1220000000003</v>
      </c>
    </row>
    <row r="227" spans="1:6" x14ac:dyDescent="0.25">
      <c r="A227">
        <v>20102048106</v>
      </c>
      <c r="B227">
        <v>2025</v>
      </c>
      <c r="C227" t="s">
        <v>108</v>
      </c>
      <c r="D227">
        <v>20102048106</v>
      </c>
      <c r="E227" t="s">
        <v>132</v>
      </c>
      <c r="F227">
        <v>5788.0977000000003</v>
      </c>
    </row>
    <row r="228" spans="1:6" x14ac:dyDescent="0.25">
      <c r="A228">
        <v>20513130</v>
      </c>
      <c r="B228">
        <v>2024</v>
      </c>
      <c r="C228" t="s">
        <v>235</v>
      </c>
      <c r="D228">
        <v>20513130385</v>
      </c>
      <c r="E228" t="s">
        <v>137</v>
      </c>
      <c r="F228">
        <v>26380.44038</v>
      </c>
    </row>
    <row r="229" spans="1:6" x14ac:dyDescent="0.25">
      <c r="A229">
        <v>20112316</v>
      </c>
      <c r="B229">
        <v>2024</v>
      </c>
      <c r="C229" t="s">
        <v>18</v>
      </c>
      <c r="D229">
        <v>20112316249</v>
      </c>
      <c r="E229" t="s">
        <v>132</v>
      </c>
      <c r="F229">
        <v>2608350.0845499998</v>
      </c>
    </row>
    <row r="230" spans="1:6" x14ac:dyDescent="0.25">
      <c r="A230">
        <v>20112316</v>
      </c>
      <c r="B230">
        <v>2025</v>
      </c>
      <c r="C230" t="s">
        <v>18</v>
      </c>
      <c r="D230">
        <v>20112316249</v>
      </c>
      <c r="E230" t="s">
        <v>132</v>
      </c>
      <c r="F230">
        <v>497642.81338000001</v>
      </c>
    </row>
    <row r="231" spans="1:6" x14ac:dyDescent="0.25">
      <c r="A231">
        <v>20601018</v>
      </c>
      <c r="B231">
        <v>2024</v>
      </c>
      <c r="C231" t="s">
        <v>236</v>
      </c>
      <c r="D231">
        <v>20601018978</v>
      </c>
      <c r="E231" t="s">
        <v>137</v>
      </c>
      <c r="F231">
        <v>26492.340370000002</v>
      </c>
    </row>
    <row r="232" spans="1:6" x14ac:dyDescent="0.25">
      <c r="A232">
        <v>20544894</v>
      </c>
      <c r="B232">
        <v>2024</v>
      </c>
      <c r="C232" t="s">
        <v>16</v>
      </c>
      <c r="D232">
        <v>20544894715</v>
      </c>
      <c r="E232" t="s">
        <v>135</v>
      </c>
      <c r="F232">
        <v>212399.61116999999</v>
      </c>
    </row>
    <row r="233" spans="1:6" x14ac:dyDescent="0.25">
      <c r="A233">
        <v>20544894</v>
      </c>
      <c r="B233">
        <v>2025</v>
      </c>
      <c r="C233" t="s">
        <v>16</v>
      </c>
      <c r="D233">
        <v>20544894715</v>
      </c>
      <c r="E233" t="s">
        <v>135</v>
      </c>
      <c r="F233">
        <v>117100.83649</v>
      </c>
    </row>
    <row r="234" spans="1:6" x14ac:dyDescent="0.25">
      <c r="A234">
        <v>20606741872</v>
      </c>
      <c r="B234">
        <v>2024</v>
      </c>
      <c r="C234" t="s">
        <v>378</v>
      </c>
      <c r="D234">
        <v>20606741872</v>
      </c>
      <c r="E234" t="s">
        <v>379</v>
      </c>
      <c r="F234">
        <v>16771.404289999999</v>
      </c>
    </row>
    <row r="235" spans="1:6" x14ac:dyDescent="0.25">
      <c r="A235">
        <v>20100064</v>
      </c>
      <c r="B235">
        <v>2024</v>
      </c>
      <c r="C235" t="s">
        <v>43</v>
      </c>
      <c r="D235">
        <v>20100064571</v>
      </c>
      <c r="E235" t="s">
        <v>132</v>
      </c>
      <c r="F235">
        <v>62295.521529999998</v>
      </c>
    </row>
    <row r="236" spans="1:6" x14ac:dyDescent="0.25">
      <c r="A236">
        <v>20100064</v>
      </c>
      <c r="B236">
        <v>2025</v>
      </c>
      <c r="C236" t="s">
        <v>43</v>
      </c>
      <c r="D236">
        <v>20100064571</v>
      </c>
      <c r="E236" t="s">
        <v>132</v>
      </c>
      <c r="F236">
        <v>48888.509400000003</v>
      </c>
    </row>
    <row r="237" spans="1:6" x14ac:dyDescent="0.25">
      <c r="A237">
        <v>20603301871</v>
      </c>
      <c r="B237">
        <v>2024</v>
      </c>
      <c r="C237" t="s">
        <v>40</v>
      </c>
      <c r="D237">
        <v>20603301871</v>
      </c>
      <c r="E237" t="s">
        <v>135</v>
      </c>
      <c r="F237">
        <v>125932.03408</v>
      </c>
    </row>
    <row r="238" spans="1:6" x14ac:dyDescent="0.25">
      <c r="A238">
        <v>20603301871</v>
      </c>
      <c r="B238">
        <v>2025</v>
      </c>
      <c r="C238" t="s">
        <v>40</v>
      </c>
      <c r="D238">
        <v>20603301871</v>
      </c>
      <c r="E238" t="s">
        <v>135</v>
      </c>
      <c r="F238">
        <v>91631.155629999994</v>
      </c>
    </row>
    <row r="239" spans="1:6" x14ac:dyDescent="0.25">
      <c r="A239">
        <v>20537546</v>
      </c>
      <c r="B239">
        <v>2024</v>
      </c>
      <c r="C239" t="s">
        <v>237</v>
      </c>
      <c r="D239">
        <v>20537546604</v>
      </c>
      <c r="E239" t="s">
        <v>137</v>
      </c>
      <c r="F239">
        <v>167162.85849000001</v>
      </c>
    </row>
    <row r="240" spans="1:6" x14ac:dyDescent="0.25">
      <c r="A240">
        <v>20537546</v>
      </c>
      <c r="B240">
        <v>2025</v>
      </c>
      <c r="C240" t="s">
        <v>237</v>
      </c>
      <c r="D240">
        <v>20537546604</v>
      </c>
      <c r="E240" t="s">
        <v>137</v>
      </c>
      <c r="F240">
        <v>56441.939440000002</v>
      </c>
    </row>
    <row r="241" spans="1:6" x14ac:dyDescent="0.25">
      <c r="A241">
        <v>20100068</v>
      </c>
      <c r="B241">
        <v>2024</v>
      </c>
      <c r="C241" t="s">
        <v>20</v>
      </c>
      <c r="D241">
        <v>20100066786</v>
      </c>
      <c r="E241" t="s">
        <v>135</v>
      </c>
      <c r="F241">
        <v>1682223.63592</v>
      </c>
    </row>
    <row r="242" spans="1:6" x14ac:dyDescent="0.25">
      <c r="A242">
        <v>20100068</v>
      </c>
      <c r="B242">
        <v>2025</v>
      </c>
      <c r="C242" t="s">
        <v>20</v>
      </c>
      <c r="D242">
        <v>20100066786</v>
      </c>
      <c r="E242" t="s">
        <v>135</v>
      </c>
      <c r="F242">
        <v>25455.230200000002</v>
      </c>
    </row>
    <row r="243" spans="1:6" x14ac:dyDescent="0.25">
      <c r="A243">
        <v>20610697811</v>
      </c>
      <c r="B243">
        <v>2024</v>
      </c>
      <c r="C243" t="s">
        <v>238</v>
      </c>
      <c r="D243">
        <v>20610697811</v>
      </c>
      <c r="E243" t="s">
        <v>137</v>
      </c>
      <c r="F243">
        <v>8817.8796000000002</v>
      </c>
    </row>
    <row r="244" spans="1:6" x14ac:dyDescent="0.25">
      <c r="A244">
        <v>20513353</v>
      </c>
      <c r="B244">
        <v>2024</v>
      </c>
      <c r="C244" t="s">
        <v>239</v>
      </c>
      <c r="D244">
        <v>20513353767</v>
      </c>
      <c r="E244" t="s">
        <v>137</v>
      </c>
      <c r="F244">
        <v>9005.6924999999992</v>
      </c>
    </row>
    <row r="245" spans="1:6" x14ac:dyDescent="0.25">
      <c r="A245">
        <v>20608739743</v>
      </c>
      <c r="B245">
        <v>2024</v>
      </c>
      <c r="C245" t="s">
        <v>240</v>
      </c>
      <c r="D245">
        <v>20608739743</v>
      </c>
      <c r="E245" t="s">
        <v>406</v>
      </c>
      <c r="F245">
        <v>9411.5859299999993</v>
      </c>
    </row>
    <row r="246" spans="1:6" x14ac:dyDescent="0.25">
      <c r="A246">
        <v>20515487</v>
      </c>
      <c r="B246">
        <v>2024</v>
      </c>
      <c r="C246" t="s">
        <v>39</v>
      </c>
      <c r="D246">
        <v>20515487361</v>
      </c>
      <c r="E246" t="s">
        <v>137</v>
      </c>
      <c r="F246">
        <v>1558494.96505</v>
      </c>
    </row>
    <row r="247" spans="1:6" x14ac:dyDescent="0.25">
      <c r="A247">
        <v>20515487</v>
      </c>
      <c r="B247">
        <v>2025</v>
      </c>
      <c r="C247" t="s">
        <v>39</v>
      </c>
      <c r="D247">
        <v>20515487361</v>
      </c>
      <c r="E247" t="s">
        <v>137</v>
      </c>
      <c r="F247">
        <v>385121.12349000003</v>
      </c>
    </row>
    <row r="248" spans="1:6" x14ac:dyDescent="0.25">
      <c r="A248">
        <v>20537192</v>
      </c>
      <c r="B248">
        <v>2024</v>
      </c>
      <c r="C248" t="s">
        <v>241</v>
      </c>
      <c r="D248">
        <v>20537192012</v>
      </c>
      <c r="E248" t="s">
        <v>137</v>
      </c>
      <c r="F248">
        <v>14385.741749999999</v>
      </c>
    </row>
    <row r="249" spans="1:6" x14ac:dyDescent="0.25">
      <c r="A249">
        <v>20517512</v>
      </c>
      <c r="B249">
        <v>2024</v>
      </c>
      <c r="C249" t="s">
        <v>23</v>
      </c>
      <c r="D249">
        <v>20517512304</v>
      </c>
      <c r="E249" t="s">
        <v>137</v>
      </c>
      <c r="F249">
        <v>29882.837469999999</v>
      </c>
    </row>
    <row r="250" spans="1:6" x14ac:dyDescent="0.25">
      <c r="A250">
        <v>20517512</v>
      </c>
      <c r="B250">
        <v>2025</v>
      </c>
      <c r="C250" t="s">
        <v>23</v>
      </c>
      <c r="D250">
        <v>20517512304</v>
      </c>
      <c r="E250" t="s">
        <v>137</v>
      </c>
      <c r="F250">
        <v>8885.4753999999994</v>
      </c>
    </row>
    <row r="251" spans="1:6" x14ac:dyDescent="0.25">
      <c r="A251">
        <v>20524073626</v>
      </c>
      <c r="B251">
        <v>2024</v>
      </c>
      <c r="C251" t="s">
        <v>380</v>
      </c>
      <c r="D251">
        <v>20524073626</v>
      </c>
      <c r="E251" t="s">
        <v>363</v>
      </c>
      <c r="F251">
        <v>4103.2</v>
      </c>
    </row>
    <row r="252" spans="1:6" x14ac:dyDescent="0.25">
      <c r="A252">
        <v>20609492431</v>
      </c>
      <c r="B252">
        <v>2024</v>
      </c>
      <c r="C252" t="s">
        <v>242</v>
      </c>
      <c r="D252">
        <v>20609492431</v>
      </c>
      <c r="E252" t="s">
        <v>406</v>
      </c>
      <c r="F252">
        <v>4278.7470000000003</v>
      </c>
    </row>
    <row r="253" spans="1:6" x14ac:dyDescent="0.25">
      <c r="A253">
        <v>10446521</v>
      </c>
      <c r="B253">
        <v>2024</v>
      </c>
      <c r="C253" t="s">
        <v>62</v>
      </c>
      <c r="D253">
        <v>10446521611</v>
      </c>
      <c r="E253" t="s">
        <v>137</v>
      </c>
      <c r="F253">
        <v>134974.17245000001</v>
      </c>
    </row>
    <row r="254" spans="1:6" x14ac:dyDescent="0.25">
      <c r="A254">
        <v>10446521</v>
      </c>
      <c r="B254">
        <v>2025</v>
      </c>
      <c r="C254" t="s">
        <v>62</v>
      </c>
      <c r="D254">
        <v>10446521611</v>
      </c>
      <c r="E254" t="s">
        <v>137</v>
      </c>
      <c r="F254">
        <v>67974.831000000006</v>
      </c>
    </row>
    <row r="255" spans="1:6" x14ac:dyDescent="0.25">
      <c r="A255">
        <v>20505711573</v>
      </c>
      <c r="B255">
        <v>2024</v>
      </c>
      <c r="C255" t="s">
        <v>243</v>
      </c>
      <c r="D255">
        <v>20505711573</v>
      </c>
      <c r="E255" t="s">
        <v>406</v>
      </c>
      <c r="F255">
        <v>1731.7977599999999</v>
      </c>
    </row>
    <row r="256" spans="1:6" x14ac:dyDescent="0.25">
      <c r="A256">
        <v>20544546</v>
      </c>
      <c r="B256">
        <v>2024</v>
      </c>
      <c r="C256" t="s">
        <v>244</v>
      </c>
      <c r="D256">
        <v>20544546270</v>
      </c>
      <c r="E256" t="s">
        <v>137</v>
      </c>
      <c r="F256">
        <v>60242.636610000001</v>
      </c>
    </row>
    <row r="257" spans="1:6" x14ac:dyDescent="0.25">
      <c r="A257">
        <v>43640477</v>
      </c>
      <c r="B257">
        <v>2024</v>
      </c>
      <c r="C257" t="s">
        <v>381</v>
      </c>
      <c r="D257">
        <v>43640477</v>
      </c>
      <c r="E257" t="s">
        <v>363</v>
      </c>
      <c r="F257">
        <v>4654.1400000000003</v>
      </c>
    </row>
    <row r="258" spans="1:6" x14ac:dyDescent="0.25">
      <c r="A258">
        <v>43640477</v>
      </c>
      <c r="B258">
        <v>2025</v>
      </c>
      <c r="C258" t="s">
        <v>381</v>
      </c>
      <c r="D258">
        <v>43640477</v>
      </c>
      <c r="E258" t="s">
        <v>363</v>
      </c>
      <c r="F258">
        <v>1330.4</v>
      </c>
    </row>
    <row r="259" spans="1:6" x14ac:dyDescent="0.25">
      <c r="A259">
        <v>20519073</v>
      </c>
      <c r="B259">
        <v>2024</v>
      </c>
      <c r="C259" t="s">
        <v>94</v>
      </c>
      <c r="D259">
        <v>20519073375</v>
      </c>
      <c r="E259" t="s">
        <v>132</v>
      </c>
      <c r="F259">
        <v>3518.2350000000001</v>
      </c>
    </row>
    <row r="260" spans="1:6" x14ac:dyDescent="0.25">
      <c r="A260">
        <v>7414032</v>
      </c>
      <c r="B260">
        <v>2024</v>
      </c>
      <c r="C260" t="s">
        <v>382</v>
      </c>
      <c r="D260">
        <v>7414032</v>
      </c>
      <c r="E260" t="s">
        <v>363</v>
      </c>
      <c r="F260">
        <v>31.16</v>
      </c>
    </row>
    <row r="261" spans="1:6" x14ac:dyDescent="0.25">
      <c r="A261">
        <v>20606351454</v>
      </c>
      <c r="B261">
        <v>2024</v>
      </c>
      <c r="C261" t="s">
        <v>245</v>
      </c>
      <c r="D261">
        <v>20606351454</v>
      </c>
      <c r="E261" t="s">
        <v>406</v>
      </c>
      <c r="F261">
        <v>7034.0068000000001</v>
      </c>
    </row>
    <row r="262" spans="1:6" x14ac:dyDescent="0.25">
      <c r="A262">
        <v>20381456</v>
      </c>
      <c r="B262">
        <v>2024</v>
      </c>
      <c r="C262" t="s">
        <v>246</v>
      </c>
      <c r="D262">
        <v>20381456812</v>
      </c>
      <c r="E262" t="s">
        <v>135</v>
      </c>
      <c r="F262">
        <v>4028.2264</v>
      </c>
    </row>
    <row r="263" spans="1:6" x14ac:dyDescent="0.25">
      <c r="A263">
        <v>20381456</v>
      </c>
      <c r="B263">
        <v>2025</v>
      </c>
      <c r="C263" t="s">
        <v>246</v>
      </c>
      <c r="D263">
        <v>20381456812</v>
      </c>
      <c r="E263" t="s">
        <v>135</v>
      </c>
      <c r="F263">
        <v>3908.7475800000002</v>
      </c>
    </row>
    <row r="264" spans="1:6" x14ac:dyDescent="0.25">
      <c r="A264">
        <v>20602910</v>
      </c>
      <c r="B264">
        <v>2024</v>
      </c>
      <c r="C264" t="s">
        <v>247</v>
      </c>
      <c r="D264">
        <v>20602909183</v>
      </c>
      <c r="E264" t="s">
        <v>406</v>
      </c>
      <c r="F264">
        <v>5736.0766999999996</v>
      </c>
    </row>
    <row r="265" spans="1:6" x14ac:dyDescent="0.25">
      <c r="A265">
        <v>20608444271</v>
      </c>
      <c r="B265">
        <v>2024</v>
      </c>
      <c r="C265" t="s">
        <v>248</v>
      </c>
      <c r="D265">
        <v>20608444271</v>
      </c>
      <c r="E265" t="s">
        <v>135</v>
      </c>
      <c r="F265">
        <v>70025.842749999996</v>
      </c>
    </row>
    <row r="266" spans="1:6" x14ac:dyDescent="0.25">
      <c r="A266">
        <v>397345021</v>
      </c>
      <c r="B266">
        <v>2024</v>
      </c>
      <c r="C266" t="s">
        <v>249</v>
      </c>
      <c r="D266">
        <v>397345021</v>
      </c>
      <c r="E266" t="s">
        <v>406</v>
      </c>
      <c r="F266">
        <v>9343.3184000000001</v>
      </c>
    </row>
    <row r="267" spans="1:6" x14ac:dyDescent="0.25">
      <c r="A267">
        <v>20341823</v>
      </c>
      <c r="B267">
        <v>2024</v>
      </c>
      <c r="C267" t="s">
        <v>250</v>
      </c>
      <c r="D267">
        <v>20341823537</v>
      </c>
      <c r="E267" t="s">
        <v>137</v>
      </c>
      <c r="F267">
        <v>33947.313529999999</v>
      </c>
    </row>
    <row r="268" spans="1:6" x14ac:dyDescent="0.25">
      <c r="A268">
        <v>20341823</v>
      </c>
      <c r="B268">
        <v>2025</v>
      </c>
      <c r="C268" t="s">
        <v>250</v>
      </c>
      <c r="D268">
        <v>20341823537</v>
      </c>
      <c r="E268" t="s">
        <v>137</v>
      </c>
      <c r="F268">
        <v>28901.85943</v>
      </c>
    </row>
    <row r="269" spans="1:6" x14ac:dyDescent="0.25">
      <c r="A269">
        <v>20392692</v>
      </c>
      <c r="B269">
        <v>2024</v>
      </c>
      <c r="C269" t="s">
        <v>22</v>
      </c>
      <c r="D269">
        <v>20392692526</v>
      </c>
      <c r="E269" t="s">
        <v>135</v>
      </c>
      <c r="F269">
        <v>165873.27135</v>
      </c>
    </row>
    <row r="270" spans="1:6" x14ac:dyDescent="0.25">
      <c r="A270">
        <v>20392692</v>
      </c>
      <c r="B270">
        <v>2025</v>
      </c>
      <c r="C270" t="s">
        <v>22</v>
      </c>
      <c r="D270">
        <v>20392692526</v>
      </c>
      <c r="E270" t="s">
        <v>135</v>
      </c>
      <c r="F270">
        <v>111499.40512</v>
      </c>
    </row>
    <row r="271" spans="1:6" x14ac:dyDescent="0.25">
      <c r="A271">
        <v>20537398</v>
      </c>
      <c r="B271">
        <v>2024</v>
      </c>
      <c r="C271" t="s">
        <v>67</v>
      </c>
      <c r="D271">
        <v>20537398907</v>
      </c>
      <c r="E271" t="s">
        <v>137</v>
      </c>
      <c r="F271">
        <v>13427.405150000001</v>
      </c>
    </row>
    <row r="272" spans="1:6" x14ac:dyDescent="0.25">
      <c r="A272">
        <v>20537398</v>
      </c>
      <c r="B272">
        <v>2025</v>
      </c>
      <c r="C272" t="s">
        <v>67</v>
      </c>
      <c r="D272">
        <v>20537398907</v>
      </c>
      <c r="E272" t="s">
        <v>137</v>
      </c>
      <c r="F272">
        <v>43599.585039999998</v>
      </c>
    </row>
    <row r="273" spans="1:6" x14ac:dyDescent="0.25">
      <c r="A273">
        <v>20509303</v>
      </c>
      <c r="B273">
        <v>2025</v>
      </c>
      <c r="C273" t="s">
        <v>413</v>
      </c>
      <c r="D273">
        <v>20509303518</v>
      </c>
      <c r="E273" t="s">
        <v>135</v>
      </c>
      <c r="F273">
        <v>3537.9360000000001</v>
      </c>
    </row>
    <row r="274" spans="1:6" x14ac:dyDescent="0.25">
      <c r="A274">
        <v>20536199</v>
      </c>
      <c r="B274">
        <v>2024</v>
      </c>
      <c r="C274" t="s">
        <v>68</v>
      </c>
      <c r="D274">
        <v>20536199242</v>
      </c>
      <c r="E274" t="s">
        <v>406</v>
      </c>
      <c r="F274">
        <v>663532.47725</v>
      </c>
    </row>
    <row r="275" spans="1:6" x14ac:dyDescent="0.25">
      <c r="A275">
        <v>20536199</v>
      </c>
      <c r="B275">
        <v>2025</v>
      </c>
      <c r="C275" t="s">
        <v>68</v>
      </c>
      <c r="D275">
        <v>20536199242</v>
      </c>
      <c r="E275" t="s">
        <v>406</v>
      </c>
      <c r="F275">
        <v>281062.55121000001</v>
      </c>
    </row>
    <row r="276" spans="1:6" x14ac:dyDescent="0.25">
      <c r="A276">
        <v>20557100</v>
      </c>
      <c r="B276">
        <v>2024</v>
      </c>
      <c r="C276" t="s">
        <v>251</v>
      </c>
      <c r="D276">
        <v>20557100661</v>
      </c>
      <c r="E276" t="s">
        <v>135</v>
      </c>
      <c r="F276">
        <v>4690.7001099999998</v>
      </c>
    </row>
    <row r="277" spans="1:6" x14ac:dyDescent="0.25">
      <c r="A277">
        <v>20557100</v>
      </c>
      <c r="B277">
        <v>2025</v>
      </c>
      <c r="C277" t="s">
        <v>251</v>
      </c>
      <c r="D277">
        <v>20557100661</v>
      </c>
      <c r="E277" t="s">
        <v>135</v>
      </c>
      <c r="F277">
        <v>24664.507020000001</v>
      </c>
    </row>
    <row r="278" spans="1:6" x14ac:dyDescent="0.25">
      <c r="A278">
        <v>10009626</v>
      </c>
      <c r="B278">
        <v>2024</v>
      </c>
      <c r="C278" t="s">
        <v>383</v>
      </c>
      <c r="D278">
        <v>20100096260</v>
      </c>
      <c r="E278" t="s">
        <v>363</v>
      </c>
      <c r="F278">
        <v>7790</v>
      </c>
    </row>
    <row r="279" spans="1:6" x14ac:dyDescent="0.25">
      <c r="A279">
        <v>10009626</v>
      </c>
      <c r="B279">
        <v>2025</v>
      </c>
      <c r="C279" t="s">
        <v>383</v>
      </c>
      <c r="D279">
        <v>20100096260</v>
      </c>
      <c r="E279" t="s">
        <v>363</v>
      </c>
      <c r="F279">
        <v>1685.39</v>
      </c>
    </row>
    <row r="280" spans="1:6" x14ac:dyDescent="0.25">
      <c r="A280">
        <v>20513382</v>
      </c>
      <c r="B280">
        <v>2025</v>
      </c>
      <c r="C280" t="s">
        <v>384</v>
      </c>
      <c r="D280">
        <v>20513382279</v>
      </c>
      <c r="E280" t="s">
        <v>363</v>
      </c>
      <c r="F280">
        <v>2943.864</v>
      </c>
    </row>
    <row r="281" spans="1:6" x14ac:dyDescent="0.25">
      <c r="A281" t="s">
        <v>252</v>
      </c>
      <c r="B281">
        <v>2024</v>
      </c>
      <c r="C281" t="s">
        <v>253</v>
      </c>
      <c r="D281">
        <v>123854403</v>
      </c>
      <c r="E281" t="s">
        <v>406</v>
      </c>
      <c r="F281">
        <v>22650</v>
      </c>
    </row>
    <row r="282" spans="1:6" x14ac:dyDescent="0.25">
      <c r="A282">
        <v>20502141</v>
      </c>
      <c r="B282">
        <v>2024</v>
      </c>
      <c r="C282" t="s">
        <v>52</v>
      </c>
      <c r="D282">
        <v>20502141768</v>
      </c>
      <c r="E282" t="s">
        <v>135</v>
      </c>
      <c r="F282">
        <v>66090.870290000006</v>
      </c>
    </row>
    <row r="283" spans="1:6" x14ac:dyDescent="0.25">
      <c r="A283">
        <v>20502141</v>
      </c>
      <c r="B283">
        <v>2025</v>
      </c>
      <c r="C283" t="s">
        <v>52</v>
      </c>
      <c r="D283">
        <v>20502141768</v>
      </c>
      <c r="E283" t="s">
        <v>135</v>
      </c>
      <c r="F283">
        <v>23117.47611</v>
      </c>
    </row>
    <row r="284" spans="1:6" x14ac:dyDescent="0.25">
      <c r="A284">
        <v>20102089</v>
      </c>
      <c r="B284">
        <v>2024</v>
      </c>
      <c r="C284" t="s">
        <v>57</v>
      </c>
      <c r="D284">
        <v>20102089635</v>
      </c>
      <c r="E284" t="s">
        <v>132</v>
      </c>
      <c r="F284">
        <v>4804393.73709</v>
      </c>
    </row>
    <row r="285" spans="1:6" x14ac:dyDescent="0.25">
      <c r="A285">
        <v>20102089</v>
      </c>
      <c r="B285">
        <v>2025</v>
      </c>
      <c r="C285" t="s">
        <v>57</v>
      </c>
      <c r="D285">
        <v>20102089635</v>
      </c>
      <c r="E285" t="s">
        <v>132</v>
      </c>
      <c r="F285">
        <v>710122.96941000002</v>
      </c>
    </row>
    <row r="286" spans="1:6" x14ac:dyDescent="0.25">
      <c r="A286">
        <v>20553302049</v>
      </c>
      <c r="B286">
        <v>2024</v>
      </c>
      <c r="C286" t="s">
        <v>254</v>
      </c>
      <c r="D286">
        <v>20553302049</v>
      </c>
      <c r="E286" t="s">
        <v>137</v>
      </c>
      <c r="F286">
        <v>70783.016950000005</v>
      </c>
    </row>
    <row r="287" spans="1:6" x14ac:dyDescent="0.25">
      <c r="A287">
        <v>20553302049</v>
      </c>
      <c r="B287">
        <v>2025</v>
      </c>
      <c r="C287" t="s">
        <v>254</v>
      </c>
      <c r="D287">
        <v>20553302049</v>
      </c>
      <c r="E287" t="s">
        <v>137</v>
      </c>
      <c r="F287">
        <v>17176.400000000001</v>
      </c>
    </row>
    <row r="288" spans="1:6" x14ac:dyDescent="0.25">
      <c r="A288">
        <v>10712426255</v>
      </c>
      <c r="B288">
        <v>2025</v>
      </c>
      <c r="C288" t="s">
        <v>414</v>
      </c>
      <c r="D288">
        <v>10712426255</v>
      </c>
      <c r="E288" t="s">
        <v>363</v>
      </c>
      <c r="F288">
        <v>93.617999999999995</v>
      </c>
    </row>
    <row r="289" spans="1:6" x14ac:dyDescent="0.25">
      <c r="A289">
        <v>10489683615</v>
      </c>
      <c r="B289">
        <v>2024</v>
      </c>
      <c r="C289" t="s">
        <v>64</v>
      </c>
      <c r="D289">
        <v>10489683615</v>
      </c>
      <c r="E289" t="s">
        <v>137</v>
      </c>
      <c r="F289">
        <v>437287.40612</v>
      </c>
    </row>
    <row r="290" spans="1:6" x14ac:dyDescent="0.25">
      <c r="A290">
        <v>10489683615</v>
      </c>
      <c r="B290">
        <v>2025</v>
      </c>
      <c r="C290" t="s">
        <v>64</v>
      </c>
      <c r="D290">
        <v>10489683615</v>
      </c>
      <c r="E290" t="s">
        <v>137</v>
      </c>
      <c r="F290">
        <v>238550.44203999999</v>
      </c>
    </row>
    <row r="291" spans="1:6" x14ac:dyDescent="0.25">
      <c r="A291">
        <v>20606097787</v>
      </c>
      <c r="B291">
        <v>2024</v>
      </c>
      <c r="C291" t="s">
        <v>385</v>
      </c>
      <c r="D291">
        <v>20606097787</v>
      </c>
      <c r="E291" t="s">
        <v>379</v>
      </c>
      <c r="F291">
        <v>13070.810439999999</v>
      </c>
    </row>
    <row r="292" spans="1:6" x14ac:dyDescent="0.25">
      <c r="A292">
        <v>20608299115</v>
      </c>
      <c r="B292">
        <v>2024</v>
      </c>
      <c r="C292" t="s">
        <v>255</v>
      </c>
      <c r="D292">
        <v>20608299115</v>
      </c>
      <c r="E292" t="s">
        <v>406</v>
      </c>
      <c r="F292">
        <v>5262.7476200000001</v>
      </c>
    </row>
    <row r="293" spans="1:6" x14ac:dyDescent="0.25">
      <c r="A293">
        <v>41584475</v>
      </c>
      <c r="B293">
        <v>2024</v>
      </c>
      <c r="C293" t="s">
        <v>386</v>
      </c>
      <c r="D293">
        <v>41584475</v>
      </c>
      <c r="E293" t="s">
        <v>363</v>
      </c>
      <c r="F293">
        <v>1551.38</v>
      </c>
    </row>
    <row r="294" spans="1:6" x14ac:dyDescent="0.25">
      <c r="A294">
        <v>41584475</v>
      </c>
      <c r="B294">
        <v>2025</v>
      </c>
      <c r="C294" t="s">
        <v>386</v>
      </c>
      <c r="D294">
        <v>41584475</v>
      </c>
      <c r="E294" t="s">
        <v>363</v>
      </c>
      <c r="F294">
        <v>445.97</v>
      </c>
    </row>
    <row r="295" spans="1:6" x14ac:dyDescent="0.25">
      <c r="A295">
        <v>10802831523</v>
      </c>
      <c r="B295">
        <v>2024</v>
      </c>
      <c r="C295" t="s">
        <v>256</v>
      </c>
      <c r="D295">
        <v>10802831523</v>
      </c>
      <c r="E295" t="s">
        <v>137</v>
      </c>
      <c r="F295">
        <v>20187.638169999998</v>
      </c>
    </row>
    <row r="296" spans="1:6" x14ac:dyDescent="0.25">
      <c r="A296">
        <v>10802831523</v>
      </c>
      <c r="B296">
        <v>2025</v>
      </c>
      <c r="C296" t="s">
        <v>256</v>
      </c>
      <c r="D296">
        <v>10802831523</v>
      </c>
      <c r="E296" t="s">
        <v>137</v>
      </c>
      <c r="F296">
        <v>5870.8294400000004</v>
      </c>
    </row>
    <row r="297" spans="1:6" x14ac:dyDescent="0.25">
      <c r="A297">
        <v>10430354</v>
      </c>
      <c r="B297">
        <v>2024</v>
      </c>
      <c r="C297" t="s">
        <v>257</v>
      </c>
      <c r="D297">
        <v>10430354855</v>
      </c>
      <c r="E297" t="s">
        <v>132</v>
      </c>
      <c r="F297">
        <v>11731.08354</v>
      </c>
    </row>
    <row r="298" spans="1:6" x14ac:dyDescent="0.25">
      <c r="A298">
        <v>10430354</v>
      </c>
      <c r="B298">
        <v>2025</v>
      </c>
      <c r="C298" t="s">
        <v>257</v>
      </c>
      <c r="D298">
        <v>10430354855</v>
      </c>
      <c r="E298" t="s">
        <v>132</v>
      </c>
      <c r="F298">
        <v>10538.593629999999</v>
      </c>
    </row>
    <row r="299" spans="1:6" x14ac:dyDescent="0.25">
      <c r="A299">
        <v>10404675</v>
      </c>
      <c r="B299">
        <v>2024</v>
      </c>
      <c r="C299" t="s">
        <v>258</v>
      </c>
      <c r="D299">
        <v>10404675520</v>
      </c>
      <c r="E299" t="s">
        <v>137</v>
      </c>
      <c r="F299">
        <v>64483.769</v>
      </c>
    </row>
    <row r="300" spans="1:6" x14ac:dyDescent="0.25">
      <c r="A300">
        <v>10404675</v>
      </c>
      <c r="B300">
        <v>2025</v>
      </c>
      <c r="C300" t="s">
        <v>258</v>
      </c>
      <c r="D300">
        <v>10404675520</v>
      </c>
      <c r="E300" t="s">
        <v>137</v>
      </c>
      <c r="F300">
        <v>61404.231950000001</v>
      </c>
    </row>
    <row r="301" spans="1:6" x14ac:dyDescent="0.25">
      <c r="A301">
        <v>20603903</v>
      </c>
      <c r="B301">
        <v>2024</v>
      </c>
      <c r="C301" t="s">
        <v>259</v>
      </c>
      <c r="D301">
        <v>20603903049</v>
      </c>
      <c r="E301" t="s">
        <v>406</v>
      </c>
      <c r="F301">
        <v>15519.576300000001</v>
      </c>
    </row>
    <row r="302" spans="1:6" x14ac:dyDescent="0.25">
      <c r="A302">
        <v>20600094</v>
      </c>
      <c r="B302">
        <v>2024</v>
      </c>
      <c r="C302" t="s">
        <v>260</v>
      </c>
      <c r="D302">
        <v>20600094778</v>
      </c>
      <c r="E302" t="s">
        <v>137</v>
      </c>
      <c r="F302">
        <v>20747.162079999998</v>
      </c>
    </row>
    <row r="303" spans="1:6" x14ac:dyDescent="0.25">
      <c r="A303">
        <v>20600094</v>
      </c>
      <c r="B303">
        <v>2025</v>
      </c>
      <c r="C303" t="s">
        <v>260</v>
      </c>
      <c r="D303">
        <v>20600094778</v>
      </c>
      <c r="E303" t="s">
        <v>137</v>
      </c>
      <c r="F303">
        <v>4931.9636</v>
      </c>
    </row>
    <row r="304" spans="1:6" x14ac:dyDescent="0.25">
      <c r="A304">
        <v>10121647</v>
      </c>
      <c r="B304">
        <v>2024</v>
      </c>
      <c r="C304" t="s">
        <v>261</v>
      </c>
      <c r="D304">
        <v>20101216471</v>
      </c>
      <c r="E304" t="s">
        <v>137</v>
      </c>
      <c r="F304">
        <v>21987.106390000001</v>
      </c>
    </row>
    <row r="305" spans="1:6" x14ac:dyDescent="0.25">
      <c r="A305">
        <v>20603725892</v>
      </c>
      <c r="B305">
        <v>2024</v>
      </c>
      <c r="C305" t="s">
        <v>103</v>
      </c>
      <c r="D305">
        <v>20603725892</v>
      </c>
      <c r="E305" t="s">
        <v>132</v>
      </c>
      <c r="F305">
        <v>41630.287609999999</v>
      </c>
    </row>
    <row r="306" spans="1:6" x14ac:dyDescent="0.25">
      <c r="A306">
        <v>20603725892</v>
      </c>
      <c r="B306">
        <v>2025</v>
      </c>
      <c r="C306" t="s">
        <v>103</v>
      </c>
      <c r="D306">
        <v>20603725892</v>
      </c>
      <c r="E306" t="s">
        <v>132</v>
      </c>
      <c r="F306">
        <v>14738.57344</v>
      </c>
    </row>
    <row r="307" spans="1:6" x14ac:dyDescent="0.25">
      <c r="A307">
        <v>10111056</v>
      </c>
      <c r="B307">
        <v>2024</v>
      </c>
      <c r="C307" t="s">
        <v>12</v>
      </c>
      <c r="D307">
        <v>20101110568</v>
      </c>
      <c r="E307" t="s">
        <v>135</v>
      </c>
      <c r="F307">
        <v>401599.24368999997</v>
      </c>
    </row>
    <row r="308" spans="1:6" x14ac:dyDescent="0.25">
      <c r="A308">
        <v>10111056</v>
      </c>
      <c r="B308">
        <v>2025</v>
      </c>
      <c r="C308" t="s">
        <v>12</v>
      </c>
      <c r="D308">
        <v>20101110568</v>
      </c>
      <c r="E308" t="s">
        <v>135</v>
      </c>
      <c r="F308">
        <v>49166.768750000003</v>
      </c>
    </row>
    <row r="309" spans="1:6" x14ac:dyDescent="0.25">
      <c r="A309">
        <v>72201005</v>
      </c>
      <c r="B309">
        <v>2024</v>
      </c>
      <c r="C309" t="s">
        <v>387</v>
      </c>
      <c r="D309">
        <v>72201005</v>
      </c>
      <c r="E309" t="s">
        <v>363</v>
      </c>
      <c r="F309">
        <v>469.81058999999999</v>
      </c>
    </row>
    <row r="310" spans="1:6" x14ac:dyDescent="0.25">
      <c r="A310">
        <v>20471442641</v>
      </c>
      <c r="B310">
        <v>2024</v>
      </c>
      <c r="C310" t="s">
        <v>262</v>
      </c>
      <c r="D310">
        <v>20471442641</v>
      </c>
      <c r="E310" t="s">
        <v>137</v>
      </c>
      <c r="F310">
        <v>12216.85916</v>
      </c>
    </row>
    <row r="311" spans="1:6" x14ac:dyDescent="0.25">
      <c r="A311">
        <v>10747463111</v>
      </c>
      <c r="B311">
        <v>2024</v>
      </c>
      <c r="C311" t="s">
        <v>263</v>
      </c>
      <c r="D311">
        <v>10747463111</v>
      </c>
      <c r="E311" t="s">
        <v>137</v>
      </c>
      <c r="F311">
        <v>6465.3119999999999</v>
      </c>
    </row>
    <row r="312" spans="1:6" x14ac:dyDescent="0.25">
      <c r="A312">
        <v>20608769685</v>
      </c>
      <c r="B312">
        <v>2024</v>
      </c>
      <c r="C312" t="s">
        <v>92</v>
      </c>
      <c r="D312">
        <v>20608769685</v>
      </c>
      <c r="E312" t="s">
        <v>132</v>
      </c>
      <c r="F312">
        <v>21749.077000000001</v>
      </c>
    </row>
    <row r="313" spans="1:6" x14ac:dyDescent="0.25">
      <c r="A313">
        <v>40345172</v>
      </c>
      <c r="B313">
        <v>2024</v>
      </c>
      <c r="C313" t="s">
        <v>264</v>
      </c>
      <c r="D313">
        <v>40345172</v>
      </c>
      <c r="E313" t="s">
        <v>406</v>
      </c>
      <c r="F313">
        <v>1212.5943</v>
      </c>
    </row>
    <row r="314" spans="1:6" x14ac:dyDescent="0.25">
      <c r="A314">
        <v>20348150</v>
      </c>
      <c r="B314">
        <v>2024</v>
      </c>
      <c r="C314" t="s">
        <v>265</v>
      </c>
      <c r="D314">
        <v>20348150627</v>
      </c>
      <c r="E314" t="s">
        <v>137</v>
      </c>
      <c r="F314">
        <v>7787.8705</v>
      </c>
    </row>
    <row r="315" spans="1:6" x14ac:dyDescent="0.25">
      <c r="A315">
        <v>20170291</v>
      </c>
      <c r="B315">
        <v>2024</v>
      </c>
      <c r="C315" t="s">
        <v>34</v>
      </c>
      <c r="D315">
        <v>20170291345</v>
      </c>
      <c r="E315" t="s">
        <v>406</v>
      </c>
      <c r="F315">
        <v>471910.75699000002</v>
      </c>
    </row>
    <row r="316" spans="1:6" x14ac:dyDescent="0.25">
      <c r="A316">
        <v>20170291</v>
      </c>
      <c r="B316">
        <v>2025</v>
      </c>
      <c r="C316" t="s">
        <v>34</v>
      </c>
      <c r="D316">
        <v>20170291345</v>
      </c>
      <c r="E316" t="s">
        <v>406</v>
      </c>
      <c r="F316">
        <v>151510.04930000001</v>
      </c>
    </row>
    <row r="317" spans="1:6" x14ac:dyDescent="0.25">
      <c r="A317">
        <v>20554176</v>
      </c>
      <c r="B317">
        <v>2024</v>
      </c>
      <c r="C317" t="s">
        <v>266</v>
      </c>
      <c r="D317">
        <v>20554175717</v>
      </c>
      <c r="E317" t="s">
        <v>137</v>
      </c>
      <c r="F317">
        <v>8076.0778200000004</v>
      </c>
    </row>
    <row r="318" spans="1:6" x14ac:dyDescent="0.25">
      <c r="A318">
        <v>20554176</v>
      </c>
      <c r="B318">
        <v>2025</v>
      </c>
      <c r="C318" t="s">
        <v>266</v>
      </c>
      <c r="D318">
        <v>20554175717</v>
      </c>
      <c r="E318" t="s">
        <v>137</v>
      </c>
      <c r="F318">
        <v>11890.010490000001</v>
      </c>
    </row>
    <row r="319" spans="1:6" x14ac:dyDescent="0.25">
      <c r="A319">
        <v>20100192</v>
      </c>
      <c r="B319">
        <v>2024</v>
      </c>
      <c r="C319" t="s">
        <v>26</v>
      </c>
      <c r="D319">
        <v>20100192650</v>
      </c>
      <c r="E319" t="s">
        <v>406</v>
      </c>
      <c r="F319">
        <v>1152680.1300600001</v>
      </c>
    </row>
    <row r="320" spans="1:6" x14ac:dyDescent="0.25">
      <c r="A320">
        <v>20100192</v>
      </c>
      <c r="B320">
        <v>2025</v>
      </c>
      <c r="C320" t="s">
        <v>26</v>
      </c>
      <c r="D320">
        <v>20100192650</v>
      </c>
      <c r="E320" t="s">
        <v>406</v>
      </c>
      <c r="F320">
        <v>115368.21296</v>
      </c>
    </row>
    <row r="321" spans="1:6" x14ac:dyDescent="0.25">
      <c r="A321">
        <v>20609555417</v>
      </c>
      <c r="B321">
        <v>2024</v>
      </c>
      <c r="C321" t="s">
        <v>47</v>
      </c>
      <c r="D321">
        <v>20609555417</v>
      </c>
      <c r="E321" t="s">
        <v>132</v>
      </c>
      <c r="F321">
        <v>317869.63501000003</v>
      </c>
    </row>
    <row r="322" spans="1:6" x14ac:dyDescent="0.25">
      <c r="A322">
        <v>20609555417</v>
      </c>
      <c r="B322">
        <v>2025</v>
      </c>
      <c r="C322" t="s">
        <v>47</v>
      </c>
      <c r="D322">
        <v>20609555417</v>
      </c>
      <c r="E322" t="s">
        <v>132</v>
      </c>
      <c r="F322">
        <v>197053.88827</v>
      </c>
    </row>
    <row r="323" spans="1:6" x14ac:dyDescent="0.25">
      <c r="A323">
        <v>20610815546</v>
      </c>
      <c r="B323">
        <v>2025</v>
      </c>
      <c r="C323" t="s">
        <v>267</v>
      </c>
      <c r="D323">
        <v>20610815546</v>
      </c>
      <c r="E323" t="s">
        <v>132</v>
      </c>
      <c r="F323">
        <v>5374.03071</v>
      </c>
    </row>
    <row r="324" spans="1:6" x14ac:dyDescent="0.25">
      <c r="A324">
        <v>20423925</v>
      </c>
      <c r="B324">
        <v>2024</v>
      </c>
      <c r="C324" t="s">
        <v>86</v>
      </c>
      <c r="D324">
        <v>20423925028</v>
      </c>
      <c r="E324" t="s">
        <v>132</v>
      </c>
      <c r="F324">
        <v>68542.28585</v>
      </c>
    </row>
    <row r="325" spans="1:6" x14ac:dyDescent="0.25">
      <c r="A325">
        <v>20423925</v>
      </c>
      <c r="B325">
        <v>2025</v>
      </c>
      <c r="C325" t="s">
        <v>86</v>
      </c>
      <c r="D325">
        <v>20423925028</v>
      </c>
      <c r="E325" t="s">
        <v>132</v>
      </c>
      <c r="F325">
        <v>79816.797619999998</v>
      </c>
    </row>
    <row r="326" spans="1:6" x14ac:dyDescent="0.25">
      <c r="A326">
        <v>20605397779</v>
      </c>
      <c r="B326">
        <v>2024</v>
      </c>
      <c r="C326" t="s">
        <v>48</v>
      </c>
      <c r="D326">
        <v>20605397779</v>
      </c>
      <c r="E326" t="s">
        <v>135</v>
      </c>
      <c r="F326">
        <v>50064.382870000001</v>
      </c>
    </row>
    <row r="327" spans="1:6" x14ac:dyDescent="0.25">
      <c r="A327">
        <v>20605397779</v>
      </c>
      <c r="B327">
        <v>2025</v>
      </c>
      <c r="C327" t="s">
        <v>48</v>
      </c>
      <c r="D327">
        <v>20605397779</v>
      </c>
      <c r="E327" t="s">
        <v>135</v>
      </c>
      <c r="F327">
        <v>19034.093150000001</v>
      </c>
    </row>
    <row r="328" spans="1:6" x14ac:dyDescent="0.25">
      <c r="A328">
        <v>20191317</v>
      </c>
      <c r="B328">
        <v>2025</v>
      </c>
      <c r="C328" t="s">
        <v>415</v>
      </c>
      <c r="D328">
        <v>20191317697</v>
      </c>
      <c r="E328" t="s">
        <v>406</v>
      </c>
      <c r="F328">
        <v>1563.9874299999999</v>
      </c>
    </row>
    <row r="329" spans="1:6" x14ac:dyDescent="0.25">
      <c r="A329">
        <v>20605086366</v>
      </c>
      <c r="B329">
        <v>2024</v>
      </c>
      <c r="C329" t="s">
        <v>268</v>
      </c>
      <c r="D329">
        <v>20605086366</v>
      </c>
      <c r="E329" t="s">
        <v>137</v>
      </c>
      <c r="F329">
        <v>12247.37059</v>
      </c>
    </row>
    <row r="330" spans="1:6" x14ac:dyDescent="0.25">
      <c r="A330">
        <v>20612188921</v>
      </c>
      <c r="B330">
        <v>2025</v>
      </c>
      <c r="C330" t="s">
        <v>269</v>
      </c>
      <c r="D330">
        <v>20612188921</v>
      </c>
      <c r="E330" t="s">
        <v>137</v>
      </c>
      <c r="F330">
        <v>5182.4507000000003</v>
      </c>
    </row>
    <row r="331" spans="1:6" x14ac:dyDescent="0.25">
      <c r="A331">
        <v>20477830</v>
      </c>
      <c r="B331">
        <v>2024</v>
      </c>
      <c r="C331" t="s">
        <v>270</v>
      </c>
      <c r="D331">
        <v>20477830979</v>
      </c>
      <c r="E331" t="s">
        <v>137</v>
      </c>
      <c r="F331">
        <v>220</v>
      </c>
    </row>
    <row r="332" spans="1:6" x14ac:dyDescent="0.25">
      <c r="A332">
        <v>20537638126</v>
      </c>
      <c r="B332">
        <v>2025</v>
      </c>
      <c r="C332" t="s">
        <v>388</v>
      </c>
      <c r="D332">
        <v>20537638126</v>
      </c>
      <c r="E332" t="s">
        <v>137</v>
      </c>
      <c r="F332">
        <v>7596.75612</v>
      </c>
    </row>
    <row r="333" spans="1:6" x14ac:dyDescent="0.25">
      <c r="A333">
        <v>20611872276</v>
      </c>
      <c r="B333">
        <v>2024</v>
      </c>
      <c r="C333" t="s">
        <v>17</v>
      </c>
      <c r="D333">
        <v>20611872276</v>
      </c>
      <c r="E333" t="s">
        <v>132</v>
      </c>
      <c r="F333">
        <v>4895.4655599999996</v>
      </c>
    </row>
    <row r="334" spans="1:6" x14ac:dyDescent="0.25">
      <c r="A334">
        <v>20611872276</v>
      </c>
      <c r="B334">
        <v>2025</v>
      </c>
      <c r="C334" t="s">
        <v>17</v>
      </c>
      <c r="D334">
        <v>20611872276</v>
      </c>
      <c r="E334" t="s">
        <v>132</v>
      </c>
      <c r="F334">
        <v>2230.4821099999999</v>
      </c>
    </row>
    <row r="335" spans="1:6" x14ac:dyDescent="0.25">
      <c r="A335">
        <v>20427896</v>
      </c>
      <c r="B335">
        <v>2024</v>
      </c>
      <c r="C335" t="s">
        <v>41</v>
      </c>
      <c r="D335">
        <v>20427896740</v>
      </c>
      <c r="E335" t="s">
        <v>135</v>
      </c>
      <c r="F335">
        <v>414079.17015999998</v>
      </c>
    </row>
    <row r="336" spans="1:6" x14ac:dyDescent="0.25">
      <c r="A336">
        <v>20427896</v>
      </c>
      <c r="B336">
        <v>2025</v>
      </c>
      <c r="C336" t="s">
        <v>41</v>
      </c>
      <c r="D336">
        <v>20427896740</v>
      </c>
      <c r="E336" t="s">
        <v>135</v>
      </c>
      <c r="F336">
        <v>62633.908719999999</v>
      </c>
    </row>
    <row r="337" spans="1:6" x14ac:dyDescent="0.25">
      <c r="A337">
        <v>20503859</v>
      </c>
      <c r="B337">
        <v>2024</v>
      </c>
      <c r="C337" t="s">
        <v>271</v>
      </c>
      <c r="D337">
        <v>20503859905</v>
      </c>
      <c r="E337" t="s">
        <v>137</v>
      </c>
      <c r="F337">
        <v>16492.758999999998</v>
      </c>
    </row>
    <row r="338" spans="1:6" x14ac:dyDescent="0.25">
      <c r="A338">
        <v>20503859</v>
      </c>
      <c r="B338">
        <v>2025</v>
      </c>
      <c r="C338" t="s">
        <v>271</v>
      </c>
      <c r="D338">
        <v>20503859905</v>
      </c>
      <c r="E338" t="s">
        <v>137</v>
      </c>
      <c r="F338">
        <v>3839.2919999999999</v>
      </c>
    </row>
    <row r="339" spans="1:6" x14ac:dyDescent="0.25">
      <c r="A339">
        <v>44444444</v>
      </c>
      <c r="B339">
        <v>2024</v>
      </c>
      <c r="C339" t="s">
        <v>272</v>
      </c>
      <c r="D339">
        <v>760322636</v>
      </c>
      <c r="E339" t="s">
        <v>406</v>
      </c>
      <c r="F339">
        <v>112433.02693000001</v>
      </c>
    </row>
    <row r="340" spans="1:6" x14ac:dyDescent="0.25">
      <c r="A340">
        <v>44444444</v>
      </c>
      <c r="B340">
        <v>2025</v>
      </c>
      <c r="C340" t="s">
        <v>272</v>
      </c>
      <c r="D340">
        <v>760322636</v>
      </c>
      <c r="E340" t="s">
        <v>406</v>
      </c>
      <c r="F340">
        <v>25955.798220000001</v>
      </c>
    </row>
    <row r="341" spans="1:6" x14ac:dyDescent="0.25">
      <c r="A341">
        <v>20519225</v>
      </c>
      <c r="B341">
        <v>2024</v>
      </c>
      <c r="C341" t="s">
        <v>31</v>
      </c>
      <c r="D341">
        <v>20519225655</v>
      </c>
      <c r="E341" t="s">
        <v>135</v>
      </c>
      <c r="F341">
        <v>182903.25643000001</v>
      </c>
    </row>
    <row r="342" spans="1:6" x14ac:dyDescent="0.25">
      <c r="A342">
        <v>20519225</v>
      </c>
      <c r="B342">
        <v>2025</v>
      </c>
      <c r="C342" t="s">
        <v>31</v>
      </c>
      <c r="D342">
        <v>20519225655</v>
      </c>
      <c r="E342" t="s">
        <v>135</v>
      </c>
      <c r="F342">
        <v>20959.78685</v>
      </c>
    </row>
    <row r="343" spans="1:6" x14ac:dyDescent="0.25">
      <c r="A343">
        <v>20551600</v>
      </c>
      <c r="B343">
        <v>2024</v>
      </c>
      <c r="C343" t="s">
        <v>273</v>
      </c>
      <c r="D343">
        <v>20551600824</v>
      </c>
      <c r="E343" t="s">
        <v>137</v>
      </c>
      <c r="F343">
        <v>1127.7090000000001</v>
      </c>
    </row>
    <row r="344" spans="1:6" x14ac:dyDescent="0.25">
      <c r="A344">
        <v>20520664</v>
      </c>
      <c r="B344">
        <v>2024</v>
      </c>
      <c r="C344" t="s">
        <v>274</v>
      </c>
      <c r="D344">
        <v>20520664921</v>
      </c>
      <c r="E344" t="s">
        <v>135</v>
      </c>
      <c r="F344">
        <v>49851.225350000001</v>
      </c>
    </row>
    <row r="345" spans="1:6" x14ac:dyDescent="0.25">
      <c r="A345">
        <v>20520664</v>
      </c>
      <c r="B345">
        <v>2025</v>
      </c>
      <c r="C345" t="s">
        <v>274</v>
      </c>
      <c r="D345">
        <v>20520664921</v>
      </c>
      <c r="E345" t="s">
        <v>135</v>
      </c>
      <c r="F345">
        <v>92.96</v>
      </c>
    </row>
    <row r="346" spans="1:6" x14ac:dyDescent="0.25">
      <c r="A346">
        <v>2</v>
      </c>
      <c r="B346">
        <v>2024</v>
      </c>
      <c r="C346" t="s">
        <v>275</v>
      </c>
      <c r="D346">
        <v>1020295022</v>
      </c>
      <c r="E346" t="s">
        <v>406</v>
      </c>
      <c r="F346">
        <v>98913.683170000004</v>
      </c>
    </row>
    <row r="347" spans="1:6" x14ac:dyDescent="0.25">
      <c r="A347">
        <v>2</v>
      </c>
      <c r="B347">
        <v>2025</v>
      </c>
      <c r="C347" t="s">
        <v>275</v>
      </c>
      <c r="D347">
        <v>1020295022</v>
      </c>
      <c r="E347" t="s">
        <v>406</v>
      </c>
      <c r="F347">
        <v>10675.65429</v>
      </c>
    </row>
    <row r="348" spans="1:6" x14ac:dyDescent="0.25">
      <c r="A348">
        <v>20176753</v>
      </c>
      <c r="B348">
        <v>2024</v>
      </c>
      <c r="C348" t="s">
        <v>276</v>
      </c>
      <c r="D348">
        <v>20176753383</v>
      </c>
      <c r="E348" t="s">
        <v>137</v>
      </c>
      <c r="F348">
        <v>4045.0471200000002</v>
      </c>
    </row>
    <row r="349" spans="1:6" x14ac:dyDescent="0.25">
      <c r="A349">
        <v>20176753</v>
      </c>
      <c r="B349">
        <v>2025</v>
      </c>
      <c r="C349" t="s">
        <v>276</v>
      </c>
      <c r="D349">
        <v>20176753383</v>
      </c>
      <c r="E349" t="s">
        <v>137</v>
      </c>
      <c r="F349">
        <v>2155.0530800000001</v>
      </c>
    </row>
    <row r="350" spans="1:6" x14ac:dyDescent="0.25">
      <c r="A350">
        <v>20545450</v>
      </c>
      <c r="B350">
        <v>2024</v>
      </c>
      <c r="C350" t="s">
        <v>277</v>
      </c>
      <c r="D350">
        <v>20545450454</v>
      </c>
      <c r="E350" t="s">
        <v>137</v>
      </c>
      <c r="F350">
        <v>1110.865</v>
      </c>
    </row>
    <row r="351" spans="1:6" x14ac:dyDescent="0.25">
      <c r="A351">
        <v>10062586</v>
      </c>
      <c r="B351">
        <v>2024</v>
      </c>
      <c r="C351" t="s">
        <v>278</v>
      </c>
      <c r="D351">
        <v>20100625866</v>
      </c>
      <c r="E351" t="s">
        <v>137</v>
      </c>
      <c r="F351">
        <v>27525.91</v>
      </c>
    </row>
    <row r="352" spans="1:6" x14ac:dyDescent="0.25">
      <c r="A352">
        <v>10062586</v>
      </c>
      <c r="B352">
        <v>2025</v>
      </c>
      <c r="C352" t="s">
        <v>278</v>
      </c>
      <c r="D352">
        <v>20100625866</v>
      </c>
      <c r="E352" t="s">
        <v>137</v>
      </c>
      <c r="F352">
        <v>7195.91</v>
      </c>
    </row>
    <row r="353" spans="1:6" x14ac:dyDescent="0.25">
      <c r="A353">
        <v>20601406</v>
      </c>
      <c r="B353">
        <v>2024</v>
      </c>
      <c r="C353" t="s">
        <v>389</v>
      </c>
      <c r="D353">
        <v>20601406455</v>
      </c>
      <c r="E353" t="s">
        <v>363</v>
      </c>
      <c r="F353">
        <v>3922.5759200000002</v>
      </c>
    </row>
    <row r="354" spans="1:6" x14ac:dyDescent="0.25">
      <c r="A354">
        <v>20601830</v>
      </c>
      <c r="B354">
        <v>2024</v>
      </c>
      <c r="C354" t="s">
        <v>279</v>
      </c>
      <c r="D354">
        <v>20601830044</v>
      </c>
      <c r="E354" t="s">
        <v>137</v>
      </c>
      <c r="F354">
        <v>6622.7429300000003</v>
      </c>
    </row>
    <row r="355" spans="1:6" x14ac:dyDescent="0.25">
      <c r="A355">
        <v>20603918348</v>
      </c>
      <c r="B355">
        <v>2024</v>
      </c>
      <c r="C355" t="s">
        <v>280</v>
      </c>
      <c r="D355">
        <v>20603918348</v>
      </c>
      <c r="E355" t="s">
        <v>135</v>
      </c>
      <c r="F355">
        <v>2984.8355799999999</v>
      </c>
    </row>
    <row r="356" spans="1:6" x14ac:dyDescent="0.25">
      <c r="A356">
        <v>10077628075</v>
      </c>
      <c r="B356">
        <v>2024</v>
      </c>
      <c r="C356" t="s">
        <v>281</v>
      </c>
      <c r="D356">
        <v>10077628075</v>
      </c>
      <c r="E356" t="s">
        <v>137</v>
      </c>
      <c r="F356">
        <v>24757.828000000001</v>
      </c>
    </row>
    <row r="357" spans="1:6" x14ac:dyDescent="0.25">
      <c r="A357">
        <v>20492696502</v>
      </c>
      <c r="B357">
        <v>2024</v>
      </c>
      <c r="C357" t="s">
        <v>282</v>
      </c>
      <c r="D357">
        <v>20492696502</v>
      </c>
      <c r="E357" t="s">
        <v>135</v>
      </c>
      <c r="F357">
        <v>40773.11808</v>
      </c>
    </row>
    <row r="358" spans="1:6" x14ac:dyDescent="0.25">
      <c r="A358">
        <v>20492696502</v>
      </c>
      <c r="B358">
        <v>2025</v>
      </c>
      <c r="C358" t="s">
        <v>282</v>
      </c>
      <c r="D358">
        <v>20492696502</v>
      </c>
      <c r="E358" t="s">
        <v>135</v>
      </c>
      <c r="F358">
        <v>10506.94867</v>
      </c>
    </row>
    <row r="359" spans="1:6" x14ac:dyDescent="0.25">
      <c r="A359">
        <v>20556849</v>
      </c>
      <c r="B359">
        <v>2024</v>
      </c>
      <c r="C359" t="s">
        <v>283</v>
      </c>
      <c r="D359">
        <v>20556849103</v>
      </c>
      <c r="E359" t="s">
        <v>137</v>
      </c>
      <c r="F359">
        <v>20542.949130000001</v>
      </c>
    </row>
    <row r="360" spans="1:6" x14ac:dyDescent="0.25">
      <c r="A360">
        <v>10115540</v>
      </c>
      <c r="B360">
        <v>2024</v>
      </c>
      <c r="C360" t="s">
        <v>284</v>
      </c>
      <c r="D360">
        <v>20101155405</v>
      </c>
      <c r="E360" t="s">
        <v>137</v>
      </c>
      <c r="F360">
        <v>41009.628100000002</v>
      </c>
    </row>
    <row r="361" spans="1:6" x14ac:dyDescent="0.25">
      <c r="A361">
        <v>20549994297</v>
      </c>
      <c r="B361">
        <v>2024</v>
      </c>
      <c r="C361" t="s">
        <v>285</v>
      </c>
      <c r="D361">
        <v>20549994297</v>
      </c>
      <c r="E361" t="s">
        <v>137</v>
      </c>
      <c r="F361">
        <v>5972.2776000000003</v>
      </c>
    </row>
    <row r="362" spans="1:6" x14ac:dyDescent="0.25">
      <c r="A362">
        <v>20605275371</v>
      </c>
      <c r="B362">
        <v>2024</v>
      </c>
      <c r="C362" t="s">
        <v>286</v>
      </c>
      <c r="D362">
        <v>20605275371</v>
      </c>
      <c r="E362" t="s">
        <v>135</v>
      </c>
      <c r="F362">
        <v>44185.956189999997</v>
      </c>
    </row>
    <row r="363" spans="1:6" x14ac:dyDescent="0.25">
      <c r="A363">
        <v>20605275371</v>
      </c>
      <c r="B363">
        <v>2025</v>
      </c>
      <c r="C363" t="s">
        <v>286</v>
      </c>
      <c r="D363">
        <v>20605275371</v>
      </c>
      <c r="E363" t="s">
        <v>135</v>
      </c>
      <c r="F363">
        <v>7610.28172</v>
      </c>
    </row>
    <row r="364" spans="1:6" x14ac:dyDescent="0.25">
      <c r="A364">
        <v>10409427</v>
      </c>
      <c r="B364">
        <v>2024</v>
      </c>
      <c r="C364" t="s">
        <v>66</v>
      </c>
      <c r="D364">
        <v>10409427141</v>
      </c>
      <c r="E364" t="s">
        <v>137</v>
      </c>
      <c r="F364">
        <v>19273.406309999998</v>
      </c>
    </row>
    <row r="365" spans="1:6" x14ac:dyDescent="0.25">
      <c r="A365">
        <v>10409427</v>
      </c>
      <c r="B365">
        <v>2025</v>
      </c>
      <c r="C365" t="s">
        <v>66</v>
      </c>
      <c r="D365">
        <v>10409427141</v>
      </c>
      <c r="E365" t="s">
        <v>137</v>
      </c>
      <c r="F365">
        <v>26999.795910000001</v>
      </c>
    </row>
    <row r="366" spans="1:6" x14ac:dyDescent="0.25">
      <c r="A366">
        <v>10769628393</v>
      </c>
      <c r="B366">
        <v>2024</v>
      </c>
      <c r="C366" t="s">
        <v>359</v>
      </c>
      <c r="D366">
        <v>10769628393</v>
      </c>
      <c r="E366" t="s">
        <v>137</v>
      </c>
      <c r="F366">
        <v>9456.1802399999997</v>
      </c>
    </row>
    <row r="367" spans="1:6" x14ac:dyDescent="0.25">
      <c r="A367">
        <v>10769628393</v>
      </c>
      <c r="B367">
        <v>2025</v>
      </c>
      <c r="C367" t="s">
        <v>359</v>
      </c>
      <c r="D367">
        <v>10769628393</v>
      </c>
      <c r="E367" t="s">
        <v>137</v>
      </c>
      <c r="F367">
        <v>9782.9351200000001</v>
      </c>
    </row>
    <row r="368" spans="1:6" x14ac:dyDescent="0.25">
      <c r="A368">
        <v>10445402805</v>
      </c>
      <c r="B368">
        <v>2024</v>
      </c>
      <c r="C368" t="s">
        <v>287</v>
      </c>
      <c r="D368">
        <v>10445402805</v>
      </c>
      <c r="E368" t="s">
        <v>137</v>
      </c>
      <c r="F368">
        <v>33253.30704</v>
      </c>
    </row>
    <row r="369" spans="1:6" x14ac:dyDescent="0.25">
      <c r="A369">
        <v>10445402805</v>
      </c>
      <c r="B369">
        <v>2025</v>
      </c>
      <c r="C369" t="s">
        <v>287</v>
      </c>
      <c r="D369">
        <v>10445402805</v>
      </c>
      <c r="E369" t="s">
        <v>137</v>
      </c>
      <c r="F369">
        <v>34439.010679999999</v>
      </c>
    </row>
    <row r="370" spans="1:6" x14ac:dyDescent="0.25">
      <c r="A370">
        <v>42111196</v>
      </c>
      <c r="B370">
        <v>2024</v>
      </c>
      <c r="C370" t="s">
        <v>288</v>
      </c>
      <c r="D370">
        <v>42111196</v>
      </c>
      <c r="E370" t="s">
        <v>137</v>
      </c>
      <c r="F370">
        <v>12413.39235</v>
      </c>
    </row>
    <row r="371" spans="1:6" x14ac:dyDescent="0.25">
      <c r="A371">
        <v>42111196</v>
      </c>
      <c r="B371">
        <v>2025</v>
      </c>
      <c r="C371" t="s">
        <v>288</v>
      </c>
      <c r="D371">
        <v>42111196</v>
      </c>
      <c r="E371" t="s">
        <v>137</v>
      </c>
      <c r="F371">
        <v>4129.1328000000003</v>
      </c>
    </row>
    <row r="372" spans="1:6" x14ac:dyDescent="0.25">
      <c r="A372">
        <v>42558891</v>
      </c>
      <c r="B372">
        <v>2024</v>
      </c>
      <c r="C372" t="s">
        <v>289</v>
      </c>
      <c r="D372">
        <v>42558891</v>
      </c>
      <c r="E372" t="s">
        <v>132</v>
      </c>
      <c r="F372">
        <v>6041.8629799999999</v>
      </c>
    </row>
    <row r="373" spans="1:6" x14ac:dyDescent="0.25">
      <c r="A373">
        <v>20511110</v>
      </c>
      <c r="B373">
        <v>2024</v>
      </c>
      <c r="C373" t="s">
        <v>390</v>
      </c>
      <c r="D373">
        <v>20511110522</v>
      </c>
      <c r="E373" t="s">
        <v>363</v>
      </c>
      <c r="F373">
        <v>5590.7553799999996</v>
      </c>
    </row>
    <row r="374" spans="1:6" x14ac:dyDescent="0.25">
      <c r="A374">
        <v>10106526</v>
      </c>
      <c r="B374">
        <v>2025</v>
      </c>
      <c r="C374" t="s">
        <v>391</v>
      </c>
      <c r="D374">
        <v>10106526015</v>
      </c>
      <c r="E374" t="s">
        <v>363</v>
      </c>
      <c r="F374">
        <v>2166.7862500000001</v>
      </c>
    </row>
    <row r="375" spans="1:6" x14ac:dyDescent="0.25">
      <c r="A375">
        <v>20306781</v>
      </c>
      <c r="B375">
        <v>2024</v>
      </c>
      <c r="C375" t="s">
        <v>96</v>
      </c>
      <c r="D375">
        <v>20306781252</v>
      </c>
      <c r="E375" t="s">
        <v>132</v>
      </c>
      <c r="F375">
        <v>20468.182339999999</v>
      </c>
    </row>
    <row r="376" spans="1:6" x14ac:dyDescent="0.25">
      <c r="A376">
        <v>20566594</v>
      </c>
      <c r="B376">
        <v>2024</v>
      </c>
      <c r="C376" t="s">
        <v>290</v>
      </c>
      <c r="D376">
        <v>20566594987</v>
      </c>
      <c r="E376" t="s">
        <v>137</v>
      </c>
      <c r="F376">
        <v>9373.5062699999999</v>
      </c>
    </row>
    <row r="377" spans="1:6" x14ac:dyDescent="0.25">
      <c r="A377">
        <v>20566594</v>
      </c>
      <c r="B377">
        <v>2025</v>
      </c>
      <c r="C377" t="s">
        <v>290</v>
      </c>
      <c r="D377">
        <v>20566594987</v>
      </c>
      <c r="E377" t="s">
        <v>137</v>
      </c>
      <c r="F377">
        <v>2854.2496500000002</v>
      </c>
    </row>
    <row r="378" spans="1:6" x14ac:dyDescent="0.25">
      <c r="A378">
        <v>20505573</v>
      </c>
      <c r="B378">
        <v>2024</v>
      </c>
      <c r="C378" t="s">
        <v>291</v>
      </c>
      <c r="D378">
        <v>20505573162</v>
      </c>
      <c r="E378" t="s">
        <v>132</v>
      </c>
      <c r="F378">
        <v>1606.2281599999999</v>
      </c>
    </row>
    <row r="379" spans="1:6" x14ac:dyDescent="0.25">
      <c r="A379">
        <v>10450039824</v>
      </c>
      <c r="B379">
        <v>2024</v>
      </c>
      <c r="C379" t="s">
        <v>292</v>
      </c>
      <c r="D379">
        <v>10450039824</v>
      </c>
      <c r="E379" t="s">
        <v>137</v>
      </c>
      <c r="F379">
        <v>22080.199680000002</v>
      </c>
    </row>
    <row r="380" spans="1:6" x14ac:dyDescent="0.25">
      <c r="A380">
        <v>10450039824</v>
      </c>
      <c r="B380">
        <v>2025</v>
      </c>
      <c r="C380" t="s">
        <v>292</v>
      </c>
      <c r="D380">
        <v>10450039824</v>
      </c>
      <c r="E380" t="s">
        <v>137</v>
      </c>
      <c r="F380">
        <v>21817.496640000001</v>
      </c>
    </row>
    <row r="381" spans="1:6" x14ac:dyDescent="0.25">
      <c r="A381">
        <v>308215287</v>
      </c>
      <c r="B381">
        <v>2024</v>
      </c>
      <c r="C381" t="s">
        <v>293</v>
      </c>
      <c r="D381">
        <v>308215287</v>
      </c>
      <c r="E381" t="s">
        <v>406</v>
      </c>
      <c r="F381">
        <v>8937.1188000000002</v>
      </c>
    </row>
    <row r="382" spans="1:6" x14ac:dyDescent="0.25">
      <c r="A382">
        <v>19914364</v>
      </c>
      <c r="B382">
        <v>2024</v>
      </c>
      <c r="C382" t="s">
        <v>294</v>
      </c>
      <c r="D382">
        <v>20199143647</v>
      </c>
      <c r="E382" t="s">
        <v>135</v>
      </c>
      <c r="F382">
        <v>13770.49711</v>
      </c>
    </row>
    <row r="383" spans="1:6" x14ac:dyDescent="0.25">
      <c r="A383">
        <v>20600681</v>
      </c>
      <c r="B383">
        <v>2024</v>
      </c>
      <c r="C383" t="s">
        <v>56</v>
      </c>
      <c r="D383">
        <v>20600681258</v>
      </c>
      <c r="E383" t="s">
        <v>137</v>
      </c>
      <c r="F383">
        <v>384434.10512000002</v>
      </c>
    </row>
    <row r="384" spans="1:6" x14ac:dyDescent="0.25">
      <c r="A384">
        <v>20600681</v>
      </c>
      <c r="B384">
        <v>2025</v>
      </c>
      <c r="C384" t="s">
        <v>56</v>
      </c>
      <c r="D384">
        <v>20600681258</v>
      </c>
      <c r="E384" t="s">
        <v>137</v>
      </c>
      <c r="F384">
        <v>31540.998159999999</v>
      </c>
    </row>
    <row r="385" spans="1:6" x14ac:dyDescent="0.25">
      <c r="A385">
        <v>20392511</v>
      </c>
      <c r="B385">
        <v>2024</v>
      </c>
      <c r="C385" t="s">
        <v>295</v>
      </c>
      <c r="D385">
        <v>20392511912</v>
      </c>
      <c r="E385" t="s">
        <v>135</v>
      </c>
      <c r="F385">
        <v>118862.77953</v>
      </c>
    </row>
    <row r="386" spans="1:6" x14ac:dyDescent="0.25">
      <c r="A386">
        <v>20392511</v>
      </c>
      <c r="B386">
        <v>2025</v>
      </c>
      <c r="C386" t="s">
        <v>295</v>
      </c>
      <c r="D386">
        <v>20392511912</v>
      </c>
      <c r="E386" t="s">
        <v>135</v>
      </c>
      <c r="F386">
        <v>20486.41401</v>
      </c>
    </row>
    <row r="387" spans="1:6" x14ac:dyDescent="0.25">
      <c r="A387">
        <v>20600102649</v>
      </c>
      <c r="B387">
        <v>2024</v>
      </c>
      <c r="C387" t="s">
        <v>392</v>
      </c>
      <c r="D387">
        <v>20600102649</v>
      </c>
      <c r="E387" t="s">
        <v>363</v>
      </c>
      <c r="F387">
        <v>4151.3999999999996</v>
      </c>
    </row>
    <row r="388" spans="1:6" x14ac:dyDescent="0.25">
      <c r="A388">
        <v>20602099661</v>
      </c>
      <c r="B388">
        <v>2024</v>
      </c>
      <c r="C388" t="s">
        <v>296</v>
      </c>
      <c r="D388">
        <v>20602099661</v>
      </c>
      <c r="E388" t="s">
        <v>137</v>
      </c>
      <c r="F388">
        <v>31107.428980000001</v>
      </c>
    </row>
    <row r="389" spans="1:6" x14ac:dyDescent="0.25">
      <c r="A389">
        <v>20602099661</v>
      </c>
      <c r="B389">
        <v>2025</v>
      </c>
      <c r="C389" t="s">
        <v>296</v>
      </c>
      <c r="D389">
        <v>20602099661</v>
      </c>
      <c r="E389" t="s">
        <v>137</v>
      </c>
      <c r="F389">
        <v>8438.7653200000004</v>
      </c>
    </row>
    <row r="390" spans="1:6" x14ac:dyDescent="0.25">
      <c r="A390">
        <v>20291751</v>
      </c>
      <c r="B390">
        <v>2024</v>
      </c>
      <c r="C390" t="s">
        <v>297</v>
      </c>
      <c r="D390">
        <v>20291751874</v>
      </c>
      <c r="E390" t="s">
        <v>137</v>
      </c>
      <c r="F390">
        <v>33268.841</v>
      </c>
    </row>
    <row r="391" spans="1:6" x14ac:dyDescent="0.25">
      <c r="A391">
        <v>20291751</v>
      </c>
      <c r="B391">
        <v>2025</v>
      </c>
      <c r="C391" t="s">
        <v>297</v>
      </c>
      <c r="D391">
        <v>20291751874</v>
      </c>
      <c r="E391" t="s">
        <v>137</v>
      </c>
      <c r="F391">
        <v>8822.0580000000009</v>
      </c>
    </row>
    <row r="392" spans="1:6" x14ac:dyDescent="0.25">
      <c r="A392">
        <v>10812984</v>
      </c>
      <c r="B392">
        <v>2024</v>
      </c>
      <c r="C392" t="s">
        <v>99</v>
      </c>
      <c r="D392">
        <v>20108129841</v>
      </c>
      <c r="E392" t="s">
        <v>132</v>
      </c>
      <c r="F392">
        <v>6913.5780000000004</v>
      </c>
    </row>
    <row r="393" spans="1:6" x14ac:dyDescent="0.25">
      <c r="A393">
        <v>10296218</v>
      </c>
      <c r="B393">
        <v>2024</v>
      </c>
      <c r="C393" t="s">
        <v>298</v>
      </c>
      <c r="D393">
        <v>10296218389</v>
      </c>
      <c r="E393" t="s">
        <v>406</v>
      </c>
      <c r="F393">
        <v>5562.9017800000001</v>
      </c>
    </row>
    <row r="394" spans="1:6" x14ac:dyDescent="0.25">
      <c r="A394">
        <v>76600989</v>
      </c>
      <c r="B394">
        <v>2024</v>
      </c>
      <c r="C394" t="s">
        <v>393</v>
      </c>
      <c r="D394">
        <v>76600989</v>
      </c>
      <c r="E394" t="s">
        <v>363</v>
      </c>
      <c r="F394">
        <v>31.16</v>
      </c>
    </row>
    <row r="395" spans="1:6" x14ac:dyDescent="0.25">
      <c r="A395">
        <v>8711276</v>
      </c>
      <c r="B395">
        <v>2024</v>
      </c>
      <c r="C395" t="s">
        <v>394</v>
      </c>
      <c r="D395">
        <v>8711276</v>
      </c>
      <c r="E395" t="s">
        <v>363</v>
      </c>
      <c r="F395">
        <v>31.16</v>
      </c>
    </row>
    <row r="396" spans="1:6" x14ac:dyDescent="0.25">
      <c r="A396">
        <v>20476763</v>
      </c>
      <c r="B396">
        <v>2024</v>
      </c>
      <c r="C396" t="s">
        <v>27</v>
      </c>
      <c r="D396">
        <v>20476763127</v>
      </c>
      <c r="E396" t="s">
        <v>132</v>
      </c>
      <c r="F396">
        <v>78440.760920000001</v>
      </c>
    </row>
    <row r="397" spans="1:6" x14ac:dyDescent="0.25">
      <c r="A397">
        <v>20476763</v>
      </c>
      <c r="B397">
        <v>2025</v>
      </c>
      <c r="C397" t="s">
        <v>27</v>
      </c>
      <c r="D397">
        <v>20476763127</v>
      </c>
      <c r="E397" t="s">
        <v>132</v>
      </c>
      <c r="F397">
        <v>35110.857790000002</v>
      </c>
    </row>
    <row r="398" spans="1:6" x14ac:dyDescent="0.25">
      <c r="A398">
        <v>76856623</v>
      </c>
      <c r="B398">
        <v>2024</v>
      </c>
      <c r="C398" t="s">
        <v>395</v>
      </c>
      <c r="D398">
        <v>76856623</v>
      </c>
      <c r="E398" t="s">
        <v>363</v>
      </c>
      <c r="F398">
        <v>425.60131999999999</v>
      </c>
    </row>
    <row r="399" spans="1:6" x14ac:dyDescent="0.25">
      <c r="A399">
        <v>10074960010</v>
      </c>
      <c r="B399">
        <v>2024</v>
      </c>
      <c r="C399" t="s">
        <v>299</v>
      </c>
      <c r="D399">
        <v>10074960010</v>
      </c>
      <c r="E399" t="s">
        <v>135</v>
      </c>
      <c r="F399">
        <v>51593.448089999998</v>
      </c>
    </row>
    <row r="400" spans="1:6" x14ac:dyDescent="0.25">
      <c r="A400">
        <v>10074960010</v>
      </c>
      <c r="B400">
        <v>2025</v>
      </c>
      <c r="C400" t="s">
        <v>299</v>
      </c>
      <c r="D400">
        <v>10074960010</v>
      </c>
      <c r="E400" t="s">
        <v>135</v>
      </c>
      <c r="F400">
        <v>16347.041370000001</v>
      </c>
    </row>
    <row r="401" spans="1:6" x14ac:dyDescent="0.25">
      <c r="A401">
        <v>3896981607223</v>
      </c>
      <c r="B401">
        <v>2024</v>
      </c>
      <c r="C401" t="s">
        <v>300</v>
      </c>
      <c r="D401">
        <v>3896981607223</v>
      </c>
      <c r="E401" t="s">
        <v>406</v>
      </c>
      <c r="F401">
        <v>111460.19500000001</v>
      </c>
    </row>
    <row r="402" spans="1:6" x14ac:dyDescent="0.25">
      <c r="A402">
        <v>3896981607223</v>
      </c>
      <c r="B402">
        <v>2025</v>
      </c>
      <c r="C402" t="s">
        <v>300</v>
      </c>
      <c r="D402">
        <v>3896981607223</v>
      </c>
      <c r="E402" t="s">
        <v>406</v>
      </c>
      <c r="F402">
        <v>306949.77614999999</v>
      </c>
    </row>
    <row r="403" spans="1:6" x14ac:dyDescent="0.25">
      <c r="A403">
        <v>10308583991</v>
      </c>
      <c r="B403">
        <v>2024</v>
      </c>
      <c r="C403" t="s">
        <v>301</v>
      </c>
      <c r="D403">
        <v>10308583991</v>
      </c>
      <c r="E403" t="s">
        <v>406</v>
      </c>
      <c r="F403">
        <v>18963.346730000001</v>
      </c>
    </row>
    <row r="404" spans="1:6" x14ac:dyDescent="0.25">
      <c r="A404">
        <v>10308583991</v>
      </c>
      <c r="B404">
        <v>2025</v>
      </c>
      <c r="C404" t="s">
        <v>301</v>
      </c>
      <c r="D404">
        <v>10308583991</v>
      </c>
      <c r="E404" t="s">
        <v>406</v>
      </c>
      <c r="F404">
        <v>6573.4967200000001</v>
      </c>
    </row>
    <row r="405" spans="1:6" x14ac:dyDescent="0.25">
      <c r="A405">
        <v>20606432918</v>
      </c>
      <c r="B405">
        <v>2024</v>
      </c>
      <c r="C405" t="s">
        <v>396</v>
      </c>
      <c r="D405">
        <v>20606432918</v>
      </c>
      <c r="E405" t="s">
        <v>363</v>
      </c>
      <c r="F405">
        <v>3804</v>
      </c>
    </row>
    <row r="406" spans="1:6" x14ac:dyDescent="0.25">
      <c r="A406">
        <v>20609439875</v>
      </c>
      <c r="B406">
        <v>2024</v>
      </c>
      <c r="C406" t="s">
        <v>360</v>
      </c>
      <c r="D406">
        <v>20609439875</v>
      </c>
      <c r="E406" t="s">
        <v>406</v>
      </c>
      <c r="F406">
        <v>7781.8599599999998</v>
      </c>
    </row>
    <row r="407" spans="1:6" x14ac:dyDescent="0.25">
      <c r="A407">
        <v>20611351403</v>
      </c>
      <c r="B407">
        <v>2024</v>
      </c>
      <c r="C407" t="s">
        <v>302</v>
      </c>
      <c r="D407">
        <v>20611351403</v>
      </c>
      <c r="E407" t="s">
        <v>132</v>
      </c>
      <c r="F407">
        <v>368.70841000000001</v>
      </c>
    </row>
    <row r="408" spans="1:6" x14ac:dyDescent="0.25">
      <c r="A408">
        <v>20611351403</v>
      </c>
      <c r="B408">
        <v>2025</v>
      </c>
      <c r="C408" t="s">
        <v>302</v>
      </c>
      <c r="D408">
        <v>20611351403</v>
      </c>
      <c r="E408" t="s">
        <v>132</v>
      </c>
      <c r="F408">
        <v>2690.3841600000001</v>
      </c>
    </row>
    <row r="409" spans="1:6" x14ac:dyDescent="0.25">
      <c r="A409">
        <v>20608727168</v>
      </c>
      <c r="B409">
        <v>2024</v>
      </c>
      <c r="C409" t="s">
        <v>303</v>
      </c>
      <c r="D409">
        <v>20608727168</v>
      </c>
      <c r="E409" t="s">
        <v>132</v>
      </c>
      <c r="F409">
        <v>1098.8208</v>
      </c>
    </row>
    <row r="410" spans="1:6" x14ac:dyDescent="0.25">
      <c r="A410">
        <v>38575236</v>
      </c>
      <c r="B410">
        <v>2024</v>
      </c>
      <c r="C410" t="s">
        <v>46</v>
      </c>
      <c r="D410">
        <v>20385752360</v>
      </c>
      <c r="E410" t="s">
        <v>135</v>
      </c>
      <c r="F410">
        <v>1517937.98798</v>
      </c>
    </row>
    <row r="411" spans="1:6" x14ac:dyDescent="0.25">
      <c r="A411">
        <v>38575236</v>
      </c>
      <c r="B411">
        <v>2025</v>
      </c>
      <c r="C411" t="s">
        <v>46</v>
      </c>
      <c r="D411">
        <v>20385752360</v>
      </c>
      <c r="E411" t="s">
        <v>135</v>
      </c>
      <c r="F411">
        <v>697671.34251999995</v>
      </c>
    </row>
    <row r="412" spans="1:6" x14ac:dyDescent="0.25">
      <c r="A412">
        <v>10763285</v>
      </c>
      <c r="B412">
        <v>2024</v>
      </c>
      <c r="C412" t="s">
        <v>397</v>
      </c>
      <c r="D412">
        <v>10763285</v>
      </c>
      <c r="E412" t="s">
        <v>363</v>
      </c>
      <c r="F412">
        <v>4873.55</v>
      </c>
    </row>
    <row r="413" spans="1:6" x14ac:dyDescent="0.25">
      <c r="A413">
        <v>20612031992</v>
      </c>
      <c r="B413">
        <v>2024</v>
      </c>
      <c r="C413" t="s">
        <v>304</v>
      </c>
      <c r="D413">
        <v>20612031992</v>
      </c>
      <c r="E413" t="s">
        <v>135</v>
      </c>
      <c r="F413">
        <v>7786.3797000000004</v>
      </c>
    </row>
    <row r="414" spans="1:6" x14ac:dyDescent="0.25">
      <c r="A414">
        <v>20612031992</v>
      </c>
      <c r="B414">
        <v>2025</v>
      </c>
      <c r="C414" t="s">
        <v>304</v>
      </c>
      <c r="D414">
        <v>20612031992</v>
      </c>
      <c r="E414" t="s">
        <v>135</v>
      </c>
      <c r="F414">
        <v>2830.3719999999998</v>
      </c>
    </row>
    <row r="415" spans="1:6" x14ac:dyDescent="0.25">
      <c r="A415">
        <v>20376729</v>
      </c>
      <c r="B415">
        <v>2024</v>
      </c>
      <c r="C415" t="s">
        <v>305</v>
      </c>
      <c r="D415">
        <v>20376729126</v>
      </c>
      <c r="E415" t="s">
        <v>135</v>
      </c>
      <c r="F415">
        <v>52359.271070000003</v>
      </c>
    </row>
    <row r="416" spans="1:6" x14ac:dyDescent="0.25">
      <c r="A416">
        <v>20376729</v>
      </c>
      <c r="B416">
        <v>2025</v>
      </c>
      <c r="C416" t="s">
        <v>305</v>
      </c>
      <c r="D416">
        <v>20376729126</v>
      </c>
      <c r="E416" t="s">
        <v>135</v>
      </c>
      <c r="F416">
        <v>1159.2067199999999</v>
      </c>
    </row>
    <row r="417" spans="1:6" x14ac:dyDescent="0.25">
      <c r="A417">
        <v>20548704</v>
      </c>
      <c r="B417">
        <v>2024</v>
      </c>
      <c r="C417" t="s">
        <v>306</v>
      </c>
      <c r="D417">
        <v>20548704180</v>
      </c>
      <c r="E417" t="s">
        <v>137</v>
      </c>
      <c r="F417">
        <v>12908.93</v>
      </c>
    </row>
    <row r="418" spans="1:6" x14ac:dyDescent="0.25">
      <c r="A418">
        <v>10469693</v>
      </c>
      <c r="B418">
        <v>2024</v>
      </c>
      <c r="C418" t="s">
        <v>91</v>
      </c>
      <c r="D418">
        <v>10469693746</v>
      </c>
      <c r="E418" t="s">
        <v>132</v>
      </c>
      <c r="F418">
        <v>24808.36088</v>
      </c>
    </row>
    <row r="419" spans="1:6" x14ac:dyDescent="0.25">
      <c r="A419">
        <v>10369169</v>
      </c>
      <c r="B419">
        <v>2024</v>
      </c>
      <c r="C419" t="s">
        <v>307</v>
      </c>
      <c r="D419">
        <v>15103691696</v>
      </c>
      <c r="E419" t="s">
        <v>406</v>
      </c>
      <c r="F419">
        <v>2678.33232</v>
      </c>
    </row>
    <row r="420" spans="1:6" x14ac:dyDescent="0.25">
      <c r="A420">
        <v>10443569401</v>
      </c>
      <c r="B420">
        <v>2025</v>
      </c>
      <c r="C420" t="s">
        <v>308</v>
      </c>
      <c r="D420">
        <v>10443569401</v>
      </c>
      <c r="E420" t="s">
        <v>137</v>
      </c>
      <c r="F420">
        <v>3367.8</v>
      </c>
    </row>
    <row r="421" spans="1:6" x14ac:dyDescent="0.25">
      <c r="A421">
        <v>20601711703</v>
      </c>
      <c r="B421">
        <v>2025</v>
      </c>
      <c r="C421" t="s">
        <v>309</v>
      </c>
      <c r="D421">
        <v>20601711703</v>
      </c>
      <c r="E421" t="s">
        <v>406</v>
      </c>
      <c r="F421">
        <v>14787.446459999999</v>
      </c>
    </row>
    <row r="422" spans="1:6" x14ac:dyDescent="0.25">
      <c r="A422">
        <v>20600473795</v>
      </c>
      <c r="B422">
        <v>2024</v>
      </c>
      <c r="C422" t="s">
        <v>310</v>
      </c>
      <c r="D422">
        <v>20600473795</v>
      </c>
      <c r="E422" t="s">
        <v>137</v>
      </c>
      <c r="F422">
        <v>55241.972759999997</v>
      </c>
    </row>
    <row r="423" spans="1:6" x14ac:dyDescent="0.25">
      <c r="A423">
        <v>20600473795</v>
      </c>
      <c r="B423">
        <v>2025</v>
      </c>
      <c r="C423" t="s">
        <v>310</v>
      </c>
      <c r="D423">
        <v>20600473795</v>
      </c>
      <c r="E423" t="s">
        <v>137</v>
      </c>
      <c r="F423">
        <v>17167.740229999999</v>
      </c>
    </row>
    <row r="424" spans="1:6" x14ac:dyDescent="0.25">
      <c r="A424">
        <v>20516702</v>
      </c>
      <c r="B424">
        <v>2024</v>
      </c>
      <c r="C424" t="s">
        <v>11</v>
      </c>
      <c r="D424">
        <v>20516702649</v>
      </c>
      <c r="E424" t="s">
        <v>132</v>
      </c>
      <c r="F424">
        <v>1943156.15289</v>
      </c>
    </row>
    <row r="425" spans="1:6" x14ac:dyDescent="0.25">
      <c r="A425">
        <v>20516702</v>
      </c>
      <c r="B425">
        <v>2025</v>
      </c>
      <c r="C425" t="s">
        <v>11</v>
      </c>
      <c r="D425">
        <v>20516702649</v>
      </c>
      <c r="E425" t="s">
        <v>132</v>
      </c>
      <c r="F425">
        <v>1879071.42135</v>
      </c>
    </row>
    <row r="426" spans="1:6" x14ac:dyDescent="0.25">
      <c r="A426">
        <v>10410372</v>
      </c>
      <c r="B426">
        <v>2024</v>
      </c>
      <c r="C426" t="s">
        <v>311</v>
      </c>
      <c r="D426">
        <v>10410372571</v>
      </c>
      <c r="E426" t="s">
        <v>406</v>
      </c>
      <c r="F426">
        <v>6042.4811</v>
      </c>
    </row>
    <row r="427" spans="1:6" x14ac:dyDescent="0.25">
      <c r="A427">
        <v>10410372</v>
      </c>
      <c r="B427">
        <v>2025</v>
      </c>
      <c r="C427" t="s">
        <v>311</v>
      </c>
      <c r="D427">
        <v>10410372571</v>
      </c>
      <c r="E427" t="s">
        <v>406</v>
      </c>
      <c r="F427">
        <v>6415.6913100000002</v>
      </c>
    </row>
    <row r="428" spans="1:6" x14ac:dyDescent="0.25">
      <c r="A428">
        <v>20601584</v>
      </c>
      <c r="B428">
        <v>2024</v>
      </c>
      <c r="C428" t="s">
        <v>312</v>
      </c>
      <c r="D428">
        <v>20601584981</v>
      </c>
      <c r="E428" t="s">
        <v>135</v>
      </c>
      <c r="F428">
        <v>197433.05157000001</v>
      </c>
    </row>
    <row r="429" spans="1:6" x14ac:dyDescent="0.25">
      <c r="A429">
        <v>20601584</v>
      </c>
      <c r="B429">
        <v>2025</v>
      </c>
      <c r="C429" t="s">
        <v>312</v>
      </c>
      <c r="D429">
        <v>20601584981</v>
      </c>
      <c r="E429" t="s">
        <v>135</v>
      </c>
      <c r="F429">
        <v>87478.064660000004</v>
      </c>
    </row>
    <row r="430" spans="1:6" x14ac:dyDescent="0.25">
      <c r="A430">
        <v>20555494</v>
      </c>
      <c r="B430">
        <v>2024</v>
      </c>
      <c r="C430" t="s">
        <v>313</v>
      </c>
      <c r="D430">
        <v>20555494433</v>
      </c>
      <c r="E430" t="s">
        <v>406</v>
      </c>
      <c r="F430">
        <v>29219.409179999999</v>
      </c>
    </row>
    <row r="431" spans="1:6" x14ac:dyDescent="0.25">
      <c r="A431">
        <v>20555494</v>
      </c>
      <c r="B431">
        <v>2025</v>
      </c>
      <c r="C431" t="s">
        <v>313</v>
      </c>
      <c r="D431">
        <v>20555494433</v>
      </c>
      <c r="E431" t="s">
        <v>406</v>
      </c>
      <c r="F431">
        <v>4707.5866599999999</v>
      </c>
    </row>
    <row r="432" spans="1:6" x14ac:dyDescent="0.25">
      <c r="A432">
        <v>20264592</v>
      </c>
      <c r="B432">
        <v>2024</v>
      </c>
      <c r="C432" t="s">
        <v>29</v>
      </c>
      <c r="D432">
        <v>20264592497</v>
      </c>
      <c r="E432" t="s">
        <v>132</v>
      </c>
      <c r="F432">
        <v>741613.73537999997</v>
      </c>
    </row>
    <row r="433" spans="1:6" x14ac:dyDescent="0.25">
      <c r="A433">
        <v>20264592</v>
      </c>
      <c r="B433">
        <v>2025</v>
      </c>
      <c r="C433" t="s">
        <v>29</v>
      </c>
      <c r="D433">
        <v>20264592497</v>
      </c>
      <c r="E433" t="s">
        <v>132</v>
      </c>
      <c r="F433">
        <v>336620.23135999998</v>
      </c>
    </row>
    <row r="434" spans="1:6" x14ac:dyDescent="0.25">
      <c r="A434">
        <v>20508006</v>
      </c>
      <c r="B434">
        <v>2024</v>
      </c>
      <c r="C434" t="s">
        <v>314</v>
      </c>
      <c r="D434">
        <v>20508006366</v>
      </c>
      <c r="E434" t="s">
        <v>137</v>
      </c>
      <c r="F434">
        <v>10276.86203</v>
      </c>
    </row>
    <row r="435" spans="1:6" x14ac:dyDescent="0.25">
      <c r="A435">
        <v>20508006</v>
      </c>
      <c r="B435">
        <v>2025</v>
      </c>
      <c r="C435" t="s">
        <v>314</v>
      </c>
      <c r="D435">
        <v>20508006366</v>
      </c>
      <c r="E435" t="s">
        <v>137</v>
      </c>
      <c r="F435">
        <v>9254.0988199999993</v>
      </c>
    </row>
    <row r="436" spans="1:6" x14ac:dyDescent="0.25">
      <c r="A436">
        <v>20384759</v>
      </c>
      <c r="B436">
        <v>2024</v>
      </c>
      <c r="C436" t="s">
        <v>315</v>
      </c>
      <c r="D436">
        <v>20384759166</v>
      </c>
      <c r="E436" t="s">
        <v>135</v>
      </c>
      <c r="F436">
        <v>20171.974750000001</v>
      </c>
    </row>
    <row r="437" spans="1:6" x14ac:dyDescent="0.25">
      <c r="A437">
        <v>20384759</v>
      </c>
      <c r="B437">
        <v>2025</v>
      </c>
      <c r="C437" t="s">
        <v>315</v>
      </c>
      <c r="D437">
        <v>20384759166</v>
      </c>
      <c r="E437" t="s">
        <v>135</v>
      </c>
      <c r="F437">
        <v>71.97</v>
      </c>
    </row>
    <row r="438" spans="1:6" x14ac:dyDescent="0.25">
      <c r="A438">
        <v>10219051</v>
      </c>
      <c r="B438">
        <v>2024</v>
      </c>
      <c r="C438" t="s">
        <v>316</v>
      </c>
      <c r="D438">
        <v>20102190514</v>
      </c>
      <c r="E438" t="s">
        <v>135</v>
      </c>
      <c r="F438">
        <v>5996.3918299999996</v>
      </c>
    </row>
    <row r="439" spans="1:6" x14ac:dyDescent="0.25">
      <c r="A439">
        <v>20509184</v>
      </c>
      <c r="B439">
        <v>2024</v>
      </c>
      <c r="C439" t="s">
        <v>51</v>
      </c>
      <c r="D439">
        <v>20509184837</v>
      </c>
      <c r="E439" t="s">
        <v>135</v>
      </c>
      <c r="F439">
        <v>263064.84255</v>
      </c>
    </row>
    <row r="440" spans="1:6" x14ac:dyDescent="0.25">
      <c r="A440">
        <v>20509184</v>
      </c>
      <c r="B440">
        <v>2025</v>
      </c>
      <c r="C440" t="s">
        <v>51</v>
      </c>
      <c r="D440">
        <v>20509184837</v>
      </c>
      <c r="E440" t="s">
        <v>135</v>
      </c>
      <c r="F440">
        <v>46492.284899999999</v>
      </c>
    </row>
    <row r="441" spans="1:6" x14ac:dyDescent="0.25">
      <c r="A441">
        <v>10076293</v>
      </c>
      <c r="B441">
        <v>2024</v>
      </c>
      <c r="C441" t="s">
        <v>38</v>
      </c>
      <c r="D441">
        <v>20100762936</v>
      </c>
      <c r="E441" t="s">
        <v>135</v>
      </c>
      <c r="F441">
        <v>2111438.3549299999</v>
      </c>
    </row>
    <row r="442" spans="1:6" x14ac:dyDescent="0.25">
      <c r="A442">
        <v>10076293</v>
      </c>
      <c r="B442">
        <v>2025</v>
      </c>
      <c r="C442" t="s">
        <v>38</v>
      </c>
      <c r="D442">
        <v>20100762936</v>
      </c>
      <c r="E442" t="s">
        <v>135</v>
      </c>
      <c r="F442">
        <v>483800.20825999998</v>
      </c>
    </row>
    <row r="443" spans="1:6" x14ac:dyDescent="0.25">
      <c r="A443">
        <v>20607013633</v>
      </c>
      <c r="B443">
        <v>2024</v>
      </c>
      <c r="C443" t="s">
        <v>317</v>
      </c>
      <c r="D443">
        <v>20607013633</v>
      </c>
      <c r="E443" t="s">
        <v>406</v>
      </c>
      <c r="F443">
        <v>17465.256000000001</v>
      </c>
    </row>
    <row r="444" spans="1:6" x14ac:dyDescent="0.25">
      <c r="A444">
        <v>20104498</v>
      </c>
      <c r="B444">
        <v>2024</v>
      </c>
      <c r="C444" t="s">
        <v>88</v>
      </c>
      <c r="D444">
        <v>20104498044</v>
      </c>
      <c r="E444" t="s">
        <v>132</v>
      </c>
      <c r="F444">
        <v>461376.34837000002</v>
      </c>
    </row>
    <row r="445" spans="1:6" x14ac:dyDescent="0.25">
      <c r="A445">
        <v>20104498</v>
      </c>
      <c r="B445">
        <v>2025</v>
      </c>
      <c r="C445" t="s">
        <v>88</v>
      </c>
      <c r="D445">
        <v>20104498044</v>
      </c>
      <c r="E445" t="s">
        <v>132</v>
      </c>
      <c r="F445">
        <v>238110.28722</v>
      </c>
    </row>
    <row r="446" spans="1:6" x14ac:dyDescent="0.25">
      <c r="A446">
        <v>20556726</v>
      </c>
      <c r="B446">
        <v>2024</v>
      </c>
      <c r="C446" t="s">
        <v>100</v>
      </c>
      <c r="D446">
        <v>20556726877</v>
      </c>
      <c r="E446" t="s">
        <v>132</v>
      </c>
      <c r="F446">
        <v>24.94</v>
      </c>
    </row>
    <row r="447" spans="1:6" x14ac:dyDescent="0.25">
      <c r="A447">
        <v>20556726</v>
      </c>
      <c r="B447">
        <v>2025</v>
      </c>
      <c r="C447" t="s">
        <v>100</v>
      </c>
      <c r="D447">
        <v>20556726877</v>
      </c>
      <c r="E447" t="s">
        <v>132</v>
      </c>
      <c r="F447">
        <v>15718.35067</v>
      </c>
    </row>
    <row r="448" spans="1:6" x14ac:dyDescent="0.25">
      <c r="A448">
        <v>41338253</v>
      </c>
      <c r="B448">
        <v>2024</v>
      </c>
      <c r="C448" t="s">
        <v>58</v>
      </c>
      <c r="D448">
        <v>20413382531</v>
      </c>
      <c r="E448" t="s">
        <v>406</v>
      </c>
      <c r="F448">
        <v>44129.499799999998</v>
      </c>
    </row>
    <row r="449" spans="1:6" x14ac:dyDescent="0.25">
      <c r="A449">
        <v>41338253</v>
      </c>
      <c r="B449">
        <v>2025</v>
      </c>
      <c r="C449" t="s">
        <v>58</v>
      </c>
      <c r="D449">
        <v>20413382531</v>
      </c>
      <c r="E449" t="s">
        <v>406</v>
      </c>
      <c r="F449">
        <v>29906.985270000001</v>
      </c>
    </row>
    <row r="450" spans="1:6" x14ac:dyDescent="0.25">
      <c r="A450">
        <v>20601049</v>
      </c>
      <c r="B450">
        <v>2024</v>
      </c>
      <c r="C450" t="s">
        <v>89</v>
      </c>
      <c r="D450">
        <v>20601049164</v>
      </c>
      <c r="E450" t="s">
        <v>132</v>
      </c>
      <c r="F450">
        <v>15010.64099</v>
      </c>
    </row>
    <row r="451" spans="1:6" x14ac:dyDescent="0.25">
      <c r="A451">
        <v>20563615</v>
      </c>
      <c r="B451">
        <v>2024</v>
      </c>
      <c r="C451" t="s">
        <v>318</v>
      </c>
      <c r="D451">
        <v>20563615371</v>
      </c>
      <c r="E451" t="s">
        <v>135</v>
      </c>
      <c r="F451">
        <v>43571.847699999998</v>
      </c>
    </row>
    <row r="452" spans="1:6" x14ac:dyDescent="0.25">
      <c r="A452">
        <v>20550330</v>
      </c>
      <c r="B452">
        <v>2024</v>
      </c>
      <c r="C452" t="s">
        <v>319</v>
      </c>
      <c r="D452">
        <v>20550330050</v>
      </c>
      <c r="E452" t="s">
        <v>135</v>
      </c>
      <c r="F452">
        <v>58206.137629999997</v>
      </c>
    </row>
    <row r="453" spans="1:6" x14ac:dyDescent="0.25">
      <c r="A453">
        <v>20550330</v>
      </c>
      <c r="B453">
        <v>2025</v>
      </c>
      <c r="C453" t="s">
        <v>319</v>
      </c>
      <c r="D453">
        <v>20550330050</v>
      </c>
      <c r="E453" t="s">
        <v>135</v>
      </c>
      <c r="F453">
        <v>143.94</v>
      </c>
    </row>
    <row r="454" spans="1:6" x14ac:dyDescent="0.25">
      <c r="A454">
        <v>20603393881</v>
      </c>
      <c r="B454">
        <v>2024</v>
      </c>
      <c r="C454" t="s">
        <v>35</v>
      </c>
      <c r="D454">
        <v>20603393881</v>
      </c>
      <c r="E454" t="s">
        <v>135</v>
      </c>
      <c r="F454">
        <v>352409.64808999997</v>
      </c>
    </row>
    <row r="455" spans="1:6" x14ac:dyDescent="0.25">
      <c r="A455">
        <v>20603393881</v>
      </c>
      <c r="B455">
        <v>2025</v>
      </c>
      <c r="C455" t="s">
        <v>35</v>
      </c>
      <c r="D455">
        <v>20603393881</v>
      </c>
      <c r="E455" t="s">
        <v>135</v>
      </c>
      <c r="F455">
        <v>129589.36287</v>
      </c>
    </row>
    <row r="456" spans="1:6" x14ac:dyDescent="0.25">
      <c r="A456">
        <v>20600552</v>
      </c>
      <c r="B456">
        <v>2024</v>
      </c>
      <c r="C456" t="s">
        <v>50</v>
      </c>
      <c r="D456">
        <v>20600552491</v>
      </c>
      <c r="E456" t="s">
        <v>137</v>
      </c>
      <c r="F456">
        <v>127230.58641</v>
      </c>
    </row>
    <row r="457" spans="1:6" x14ac:dyDescent="0.25">
      <c r="A457">
        <v>20600552</v>
      </c>
      <c r="B457">
        <v>2025</v>
      </c>
      <c r="C457" t="s">
        <v>50</v>
      </c>
      <c r="D457">
        <v>20600552491</v>
      </c>
      <c r="E457" t="s">
        <v>137</v>
      </c>
      <c r="F457">
        <v>66943.442120000007</v>
      </c>
    </row>
    <row r="458" spans="1:6" x14ac:dyDescent="0.25">
      <c r="A458">
        <v>20537060531</v>
      </c>
      <c r="B458">
        <v>2024</v>
      </c>
      <c r="C458" t="s">
        <v>320</v>
      </c>
      <c r="D458">
        <v>20537060531</v>
      </c>
      <c r="E458" t="s">
        <v>137</v>
      </c>
      <c r="F458">
        <v>3322.4940000000001</v>
      </c>
    </row>
    <row r="459" spans="1:6" x14ac:dyDescent="0.25">
      <c r="A459">
        <v>20611520124</v>
      </c>
      <c r="B459">
        <v>2024</v>
      </c>
      <c r="C459" t="s">
        <v>54</v>
      </c>
      <c r="D459">
        <v>20611520124</v>
      </c>
      <c r="E459" t="s">
        <v>137</v>
      </c>
      <c r="F459">
        <v>41220.341650000002</v>
      </c>
    </row>
    <row r="460" spans="1:6" x14ac:dyDescent="0.25">
      <c r="A460">
        <v>20611520124</v>
      </c>
      <c r="B460">
        <v>2025</v>
      </c>
      <c r="C460" t="s">
        <v>54</v>
      </c>
      <c r="D460">
        <v>20611520124</v>
      </c>
      <c r="E460" t="s">
        <v>137</v>
      </c>
      <c r="F460">
        <v>8275.6277699999991</v>
      </c>
    </row>
    <row r="461" spans="1:6" x14ac:dyDescent="0.25">
      <c r="A461">
        <v>20513249</v>
      </c>
      <c r="B461">
        <v>2024</v>
      </c>
      <c r="C461" t="s">
        <v>24</v>
      </c>
      <c r="D461">
        <v>20513249510</v>
      </c>
      <c r="E461" t="s">
        <v>135</v>
      </c>
      <c r="F461">
        <v>232451.69886</v>
      </c>
    </row>
    <row r="462" spans="1:6" x14ac:dyDescent="0.25">
      <c r="A462">
        <v>20513249</v>
      </c>
      <c r="B462">
        <v>2025</v>
      </c>
      <c r="C462" t="s">
        <v>24</v>
      </c>
      <c r="D462">
        <v>20513249510</v>
      </c>
      <c r="E462" t="s">
        <v>135</v>
      </c>
      <c r="F462">
        <v>12251.16065</v>
      </c>
    </row>
    <row r="463" spans="1:6" x14ac:dyDescent="0.25">
      <c r="A463">
        <v>20516281</v>
      </c>
      <c r="B463">
        <v>2024</v>
      </c>
      <c r="C463" t="s">
        <v>321</v>
      </c>
      <c r="D463">
        <v>20516281449</v>
      </c>
      <c r="E463" t="s">
        <v>137</v>
      </c>
      <c r="F463">
        <v>76387.688280000002</v>
      </c>
    </row>
    <row r="464" spans="1:6" x14ac:dyDescent="0.25">
      <c r="A464">
        <v>20516281</v>
      </c>
      <c r="B464">
        <v>2025</v>
      </c>
      <c r="C464" t="s">
        <v>321</v>
      </c>
      <c r="D464">
        <v>20516281449</v>
      </c>
      <c r="E464" t="s">
        <v>137</v>
      </c>
      <c r="F464">
        <v>22022.553599999999</v>
      </c>
    </row>
    <row r="465" spans="1:6" x14ac:dyDescent="0.25">
      <c r="A465">
        <v>10702674650</v>
      </c>
      <c r="B465">
        <v>2024</v>
      </c>
      <c r="C465" t="s">
        <v>97</v>
      </c>
      <c r="D465">
        <v>10702674650</v>
      </c>
      <c r="E465" t="s">
        <v>137</v>
      </c>
      <c r="F465">
        <v>24299.559959999999</v>
      </c>
    </row>
    <row r="466" spans="1:6" x14ac:dyDescent="0.25">
      <c r="A466">
        <v>20600657</v>
      </c>
      <c r="B466">
        <v>2024</v>
      </c>
      <c r="C466" t="s">
        <v>37</v>
      </c>
      <c r="D466">
        <v>20600657641</v>
      </c>
      <c r="E466" t="s">
        <v>135</v>
      </c>
      <c r="F466">
        <v>96296.17542</v>
      </c>
    </row>
    <row r="467" spans="1:6" x14ac:dyDescent="0.25">
      <c r="A467">
        <v>20600657</v>
      </c>
      <c r="B467">
        <v>2025</v>
      </c>
      <c r="C467" t="s">
        <v>37</v>
      </c>
      <c r="D467">
        <v>20600657641</v>
      </c>
      <c r="E467" t="s">
        <v>135</v>
      </c>
      <c r="F467">
        <v>75564.827929999999</v>
      </c>
    </row>
    <row r="468" spans="1:6" x14ac:dyDescent="0.25">
      <c r="A468">
        <v>20551331</v>
      </c>
      <c r="B468">
        <v>2024</v>
      </c>
      <c r="C468" t="s">
        <v>13</v>
      </c>
      <c r="D468">
        <v>20551331661</v>
      </c>
      <c r="E468" t="s">
        <v>135</v>
      </c>
      <c r="F468">
        <v>827696.40781999996</v>
      </c>
    </row>
    <row r="469" spans="1:6" x14ac:dyDescent="0.25">
      <c r="A469">
        <v>20551331</v>
      </c>
      <c r="B469">
        <v>2025</v>
      </c>
      <c r="C469" t="s">
        <v>13</v>
      </c>
      <c r="D469">
        <v>20551331661</v>
      </c>
      <c r="E469" t="s">
        <v>135</v>
      </c>
      <c r="F469">
        <v>304227.91686</v>
      </c>
    </row>
    <row r="470" spans="1:6" x14ac:dyDescent="0.25">
      <c r="A470">
        <v>10194186</v>
      </c>
      <c r="B470">
        <v>2024</v>
      </c>
      <c r="C470" t="s">
        <v>398</v>
      </c>
      <c r="D470">
        <v>10194186</v>
      </c>
      <c r="E470" t="s">
        <v>363</v>
      </c>
      <c r="F470">
        <v>5213.43</v>
      </c>
    </row>
    <row r="471" spans="1:6" x14ac:dyDescent="0.25">
      <c r="A471">
        <v>10194186</v>
      </c>
      <c r="B471">
        <v>2025</v>
      </c>
      <c r="C471" t="s">
        <v>398</v>
      </c>
      <c r="D471">
        <v>10194186</v>
      </c>
      <c r="E471" t="s">
        <v>363</v>
      </c>
      <c r="F471">
        <v>1590.49</v>
      </c>
    </row>
    <row r="472" spans="1:6" x14ac:dyDescent="0.25">
      <c r="A472">
        <v>42595387</v>
      </c>
      <c r="B472">
        <v>2024</v>
      </c>
      <c r="C472" t="s">
        <v>322</v>
      </c>
      <c r="D472">
        <v>42595387</v>
      </c>
      <c r="E472" t="s">
        <v>406</v>
      </c>
      <c r="F472">
        <v>7269.6502499999997</v>
      </c>
    </row>
    <row r="473" spans="1:6" x14ac:dyDescent="0.25">
      <c r="A473">
        <v>20521148</v>
      </c>
      <c r="B473">
        <v>2024</v>
      </c>
      <c r="C473" t="s">
        <v>323</v>
      </c>
      <c r="D473">
        <v>20521148617</v>
      </c>
      <c r="E473" t="s">
        <v>135</v>
      </c>
      <c r="F473">
        <v>11141.97415</v>
      </c>
    </row>
    <row r="474" spans="1:6" x14ac:dyDescent="0.25">
      <c r="A474">
        <v>10306745</v>
      </c>
      <c r="B474">
        <v>2025</v>
      </c>
      <c r="C474" t="s">
        <v>324</v>
      </c>
      <c r="D474">
        <v>10306745625</v>
      </c>
      <c r="E474" t="s">
        <v>406</v>
      </c>
      <c r="F474">
        <v>1450.2467099999999</v>
      </c>
    </row>
    <row r="475" spans="1:6" x14ac:dyDescent="0.25">
      <c r="A475">
        <v>10428751413</v>
      </c>
      <c r="B475">
        <v>2024</v>
      </c>
      <c r="C475" t="s">
        <v>109</v>
      </c>
      <c r="D475">
        <v>10428751413</v>
      </c>
      <c r="E475" t="s">
        <v>132</v>
      </c>
      <c r="F475">
        <v>3970.3040000000001</v>
      </c>
    </row>
    <row r="476" spans="1:6" x14ac:dyDescent="0.25">
      <c r="A476">
        <v>10428751413</v>
      </c>
      <c r="B476">
        <v>2025</v>
      </c>
      <c r="C476" t="s">
        <v>109</v>
      </c>
      <c r="D476">
        <v>10428751413</v>
      </c>
      <c r="E476" t="s">
        <v>132</v>
      </c>
      <c r="F476">
        <v>2748.5079999999998</v>
      </c>
    </row>
    <row r="477" spans="1:6" x14ac:dyDescent="0.25">
      <c r="A477">
        <v>20609430517</v>
      </c>
      <c r="B477">
        <v>2024</v>
      </c>
      <c r="C477" t="s">
        <v>325</v>
      </c>
      <c r="D477">
        <v>20609430517</v>
      </c>
      <c r="E477" t="s">
        <v>137</v>
      </c>
      <c r="F477">
        <v>5418.2915000000003</v>
      </c>
    </row>
    <row r="478" spans="1:6" x14ac:dyDescent="0.25">
      <c r="A478">
        <v>71486901</v>
      </c>
      <c r="B478">
        <v>2024</v>
      </c>
      <c r="C478" t="s">
        <v>399</v>
      </c>
      <c r="D478">
        <v>71486901</v>
      </c>
      <c r="E478" t="s">
        <v>363</v>
      </c>
      <c r="F478">
        <v>471.62536999999998</v>
      </c>
    </row>
    <row r="479" spans="1:6" x14ac:dyDescent="0.25">
      <c r="A479">
        <v>10104865254</v>
      </c>
      <c r="B479">
        <v>2024</v>
      </c>
      <c r="C479" t="s">
        <v>87</v>
      </c>
      <c r="D479">
        <v>10104865254</v>
      </c>
      <c r="E479" t="s">
        <v>132</v>
      </c>
      <c r="F479">
        <v>8029.6205399999999</v>
      </c>
    </row>
    <row r="480" spans="1:6" x14ac:dyDescent="0.25">
      <c r="A480">
        <v>20511653</v>
      </c>
      <c r="B480">
        <v>2024</v>
      </c>
      <c r="C480" t="s">
        <v>53</v>
      </c>
      <c r="D480">
        <v>20511653909</v>
      </c>
      <c r="E480" t="s">
        <v>132</v>
      </c>
      <c r="F480">
        <v>841475.96576000005</v>
      </c>
    </row>
    <row r="481" spans="1:6" x14ac:dyDescent="0.25">
      <c r="A481">
        <v>20511653</v>
      </c>
      <c r="B481">
        <v>2025</v>
      </c>
      <c r="C481" t="s">
        <v>53</v>
      </c>
      <c r="D481">
        <v>20511653909</v>
      </c>
      <c r="E481" t="s">
        <v>132</v>
      </c>
      <c r="F481">
        <v>194733.09700000001</v>
      </c>
    </row>
    <row r="482" spans="1:6" x14ac:dyDescent="0.25">
      <c r="A482">
        <v>20168805</v>
      </c>
      <c r="B482">
        <v>2024</v>
      </c>
      <c r="C482" t="s">
        <v>400</v>
      </c>
      <c r="D482">
        <v>20168805072</v>
      </c>
      <c r="E482" t="s">
        <v>363</v>
      </c>
      <c r="F482">
        <v>848.16</v>
      </c>
    </row>
    <row r="483" spans="1:6" x14ac:dyDescent="0.25">
      <c r="A483">
        <v>20168805</v>
      </c>
      <c r="B483">
        <v>2025</v>
      </c>
      <c r="C483" t="s">
        <v>400</v>
      </c>
      <c r="D483">
        <v>20168805072</v>
      </c>
      <c r="E483" t="s">
        <v>363</v>
      </c>
      <c r="F483">
        <v>282.72000000000003</v>
      </c>
    </row>
    <row r="484" spans="1:6" x14ac:dyDescent="0.25">
      <c r="A484">
        <v>20611920556</v>
      </c>
      <c r="B484">
        <v>2024</v>
      </c>
      <c r="C484" t="s">
        <v>326</v>
      </c>
      <c r="D484">
        <v>20611920556</v>
      </c>
      <c r="E484" t="s">
        <v>406</v>
      </c>
      <c r="F484">
        <v>52641.922919999997</v>
      </c>
    </row>
    <row r="485" spans="1:6" x14ac:dyDescent="0.25">
      <c r="A485">
        <v>10200485004</v>
      </c>
      <c r="B485">
        <v>2024</v>
      </c>
      <c r="C485" t="s">
        <v>327</v>
      </c>
      <c r="D485">
        <v>10200485004</v>
      </c>
      <c r="E485" t="s">
        <v>137</v>
      </c>
      <c r="F485">
        <v>2640.6905200000001</v>
      </c>
    </row>
    <row r="486" spans="1:6" x14ac:dyDescent="0.25">
      <c r="A486">
        <v>20602986</v>
      </c>
      <c r="B486">
        <v>2024</v>
      </c>
      <c r="C486" t="s">
        <v>328</v>
      </c>
      <c r="D486">
        <v>20602986251</v>
      </c>
      <c r="E486" t="s">
        <v>137</v>
      </c>
      <c r="F486">
        <v>90181.698740000007</v>
      </c>
    </row>
    <row r="487" spans="1:6" x14ac:dyDescent="0.25">
      <c r="A487">
        <v>20602986</v>
      </c>
      <c r="B487">
        <v>2025</v>
      </c>
      <c r="C487" t="s">
        <v>328</v>
      </c>
      <c r="D487">
        <v>20602986251</v>
      </c>
      <c r="E487" t="s">
        <v>137</v>
      </c>
      <c r="F487">
        <v>32316.176220000001</v>
      </c>
    </row>
    <row r="488" spans="1:6" x14ac:dyDescent="0.25">
      <c r="A488">
        <v>20522254</v>
      </c>
      <c r="B488">
        <v>2024</v>
      </c>
      <c r="C488" t="s">
        <v>63</v>
      </c>
      <c r="D488">
        <v>20522254933</v>
      </c>
      <c r="E488" t="s">
        <v>135</v>
      </c>
      <c r="F488">
        <v>24102.118170000002</v>
      </c>
    </row>
    <row r="489" spans="1:6" x14ac:dyDescent="0.25">
      <c r="A489">
        <v>20522254</v>
      </c>
      <c r="B489">
        <v>2025</v>
      </c>
      <c r="C489" t="s">
        <v>63</v>
      </c>
      <c r="D489">
        <v>20522254933</v>
      </c>
      <c r="E489" t="s">
        <v>135</v>
      </c>
      <c r="F489">
        <v>9890.4328600000008</v>
      </c>
    </row>
    <row r="490" spans="1:6" x14ac:dyDescent="0.25">
      <c r="A490">
        <v>73988688</v>
      </c>
      <c r="B490">
        <v>2024</v>
      </c>
      <c r="C490" t="s">
        <v>401</v>
      </c>
      <c r="D490">
        <v>73988688</v>
      </c>
      <c r="E490" t="s">
        <v>363</v>
      </c>
      <c r="F490">
        <v>203.46559999999999</v>
      </c>
    </row>
    <row r="491" spans="1:6" x14ac:dyDescent="0.25">
      <c r="A491">
        <v>7695581</v>
      </c>
      <c r="B491">
        <v>2024</v>
      </c>
      <c r="C491" t="s">
        <v>402</v>
      </c>
      <c r="D491">
        <v>7695581</v>
      </c>
      <c r="E491" t="s">
        <v>363</v>
      </c>
      <c r="F491">
        <v>3102.75</v>
      </c>
    </row>
    <row r="492" spans="1:6" x14ac:dyDescent="0.25">
      <c r="A492">
        <v>7695581</v>
      </c>
      <c r="B492">
        <v>2025</v>
      </c>
      <c r="C492" t="s">
        <v>402</v>
      </c>
      <c r="D492">
        <v>7695581</v>
      </c>
      <c r="E492" t="s">
        <v>363</v>
      </c>
      <c r="F492">
        <v>886.93</v>
      </c>
    </row>
    <row r="493" spans="1:6" x14ac:dyDescent="0.25">
      <c r="A493">
        <v>42035361</v>
      </c>
      <c r="B493">
        <v>2024</v>
      </c>
      <c r="C493" t="s">
        <v>329</v>
      </c>
      <c r="D493">
        <v>10420353613</v>
      </c>
      <c r="E493" t="s">
        <v>406</v>
      </c>
      <c r="F493">
        <v>1438.77575</v>
      </c>
    </row>
    <row r="494" spans="1:6" x14ac:dyDescent="0.25">
      <c r="A494">
        <v>10092989980</v>
      </c>
      <c r="B494">
        <v>2024</v>
      </c>
      <c r="C494" t="s">
        <v>403</v>
      </c>
      <c r="D494">
        <v>10092989980</v>
      </c>
      <c r="E494" t="s">
        <v>363</v>
      </c>
      <c r="F494">
        <v>31.16</v>
      </c>
    </row>
    <row r="495" spans="1:6" x14ac:dyDescent="0.25">
      <c r="A495">
        <v>20609531143</v>
      </c>
      <c r="B495">
        <v>2024</v>
      </c>
      <c r="C495" t="s">
        <v>330</v>
      </c>
      <c r="D495">
        <v>20609531143</v>
      </c>
      <c r="E495" t="s">
        <v>406</v>
      </c>
      <c r="F495">
        <v>26166.917679999999</v>
      </c>
    </row>
    <row r="496" spans="1:6" x14ac:dyDescent="0.25">
      <c r="A496">
        <v>20607722120</v>
      </c>
      <c r="B496">
        <v>2024</v>
      </c>
      <c r="C496" t="s">
        <v>331</v>
      </c>
      <c r="D496">
        <v>20607722120</v>
      </c>
      <c r="E496" t="s">
        <v>135</v>
      </c>
      <c r="F496">
        <v>33514.991170000001</v>
      </c>
    </row>
    <row r="497" spans="1:6" x14ac:dyDescent="0.25">
      <c r="A497">
        <v>20607722120</v>
      </c>
      <c r="B497">
        <v>2025</v>
      </c>
      <c r="C497" t="s">
        <v>331</v>
      </c>
      <c r="D497">
        <v>20607722120</v>
      </c>
      <c r="E497" t="s">
        <v>135</v>
      </c>
      <c r="F497">
        <v>3134.7545399999999</v>
      </c>
    </row>
    <row r="498" spans="1:6" x14ac:dyDescent="0.25">
      <c r="A498">
        <v>20453995</v>
      </c>
      <c r="B498">
        <v>2024</v>
      </c>
      <c r="C498" t="s">
        <v>32</v>
      </c>
      <c r="D498">
        <v>20453995241</v>
      </c>
      <c r="E498" t="s">
        <v>406</v>
      </c>
      <c r="F498">
        <v>80825.365940000003</v>
      </c>
    </row>
    <row r="499" spans="1:6" x14ac:dyDescent="0.25">
      <c r="A499">
        <v>20453995</v>
      </c>
      <c r="B499">
        <v>2025</v>
      </c>
      <c r="C499" t="s">
        <v>32</v>
      </c>
      <c r="D499">
        <v>20453995241</v>
      </c>
      <c r="E499" t="s">
        <v>406</v>
      </c>
      <c r="F499">
        <v>9146.7679800000005</v>
      </c>
    </row>
    <row r="500" spans="1:6" x14ac:dyDescent="0.25">
      <c r="A500">
        <v>10426253980</v>
      </c>
      <c r="B500">
        <v>2025</v>
      </c>
      <c r="C500" t="s">
        <v>361</v>
      </c>
      <c r="D500">
        <v>10426253980</v>
      </c>
      <c r="E500" t="s">
        <v>137</v>
      </c>
      <c r="F500">
        <v>60236.615590000001</v>
      </c>
    </row>
    <row r="501" spans="1:6" x14ac:dyDescent="0.25">
      <c r="A501">
        <v>20603644299</v>
      </c>
      <c r="B501">
        <v>2024</v>
      </c>
      <c r="C501" t="s">
        <v>404</v>
      </c>
      <c r="D501">
        <v>20603644299</v>
      </c>
      <c r="E501" t="s">
        <v>379</v>
      </c>
      <c r="F501">
        <v>11718.64755</v>
      </c>
    </row>
    <row r="502" spans="1:6" x14ac:dyDescent="0.25">
      <c r="A502">
        <v>20607031852</v>
      </c>
      <c r="B502">
        <v>2024</v>
      </c>
      <c r="C502" t="s">
        <v>61</v>
      </c>
      <c r="D502">
        <v>20607031852</v>
      </c>
      <c r="E502" t="s">
        <v>406</v>
      </c>
      <c r="F502">
        <v>71393.790009999997</v>
      </c>
    </row>
    <row r="503" spans="1:6" x14ac:dyDescent="0.25">
      <c r="A503">
        <v>20607031852</v>
      </c>
      <c r="B503">
        <v>2025</v>
      </c>
      <c r="C503" t="s">
        <v>61</v>
      </c>
      <c r="D503">
        <v>20607031852</v>
      </c>
      <c r="E503" t="s">
        <v>406</v>
      </c>
      <c r="F503">
        <v>68439.822480000003</v>
      </c>
    </row>
    <row r="504" spans="1:6" x14ac:dyDescent="0.25">
      <c r="A504">
        <v>20603603592</v>
      </c>
      <c r="B504">
        <v>2024</v>
      </c>
      <c r="C504" t="s">
        <v>332</v>
      </c>
      <c r="D504">
        <v>20603603592</v>
      </c>
      <c r="E504" t="s">
        <v>137</v>
      </c>
      <c r="F504">
        <v>15768.23288</v>
      </c>
    </row>
    <row r="505" spans="1:6" x14ac:dyDescent="0.25">
      <c r="A505">
        <v>20603603592</v>
      </c>
      <c r="B505">
        <v>2025</v>
      </c>
      <c r="C505" t="s">
        <v>332</v>
      </c>
      <c r="D505">
        <v>20603603592</v>
      </c>
      <c r="E505" t="s">
        <v>137</v>
      </c>
      <c r="F505">
        <v>6050.8279000000002</v>
      </c>
    </row>
    <row r="506" spans="1:6" x14ac:dyDescent="0.25">
      <c r="A506">
        <v>20606540265</v>
      </c>
      <c r="B506">
        <v>2024</v>
      </c>
      <c r="C506" t="s">
        <v>333</v>
      </c>
      <c r="D506">
        <v>20606540265</v>
      </c>
      <c r="E506" t="s">
        <v>406</v>
      </c>
      <c r="F506">
        <v>3837.5937600000002</v>
      </c>
    </row>
    <row r="507" spans="1:6" x14ac:dyDescent="0.25">
      <c r="A507">
        <v>20478228</v>
      </c>
      <c r="B507">
        <v>2024</v>
      </c>
      <c r="C507" t="s">
        <v>334</v>
      </c>
      <c r="D507">
        <v>20478228237</v>
      </c>
      <c r="E507" t="s">
        <v>135</v>
      </c>
      <c r="F507">
        <v>3861.3147300000001</v>
      </c>
    </row>
    <row r="508" spans="1:6" x14ac:dyDescent="0.25">
      <c r="A508">
        <v>20522506</v>
      </c>
      <c r="B508">
        <v>2024</v>
      </c>
      <c r="C508" t="s">
        <v>335</v>
      </c>
      <c r="D508">
        <v>20522506410</v>
      </c>
      <c r="E508" t="s">
        <v>135</v>
      </c>
      <c r="F508">
        <v>50072.722750000001</v>
      </c>
    </row>
    <row r="509" spans="1:6" x14ac:dyDescent="0.25">
      <c r="A509">
        <v>20522506</v>
      </c>
      <c r="B509">
        <v>2025</v>
      </c>
      <c r="C509" t="s">
        <v>335</v>
      </c>
      <c r="D509">
        <v>20522506410</v>
      </c>
      <c r="E509" t="s">
        <v>135</v>
      </c>
      <c r="F509">
        <v>3989.9105100000002</v>
      </c>
    </row>
    <row r="510" spans="1:6" x14ac:dyDescent="0.25">
      <c r="A510">
        <v>20612303046</v>
      </c>
      <c r="B510">
        <v>2025</v>
      </c>
      <c r="C510" t="s">
        <v>336</v>
      </c>
      <c r="D510">
        <v>20612303046</v>
      </c>
      <c r="E510" t="s">
        <v>406</v>
      </c>
      <c r="F510">
        <v>7410.2819600000003</v>
      </c>
    </row>
    <row r="511" spans="1:6" x14ac:dyDescent="0.25">
      <c r="A511">
        <v>10295610</v>
      </c>
      <c r="B511">
        <v>2024</v>
      </c>
      <c r="C511" t="s">
        <v>337</v>
      </c>
      <c r="D511">
        <v>10295610889</v>
      </c>
      <c r="E511" t="s">
        <v>406</v>
      </c>
      <c r="F511">
        <v>6807.4143800000002</v>
      </c>
    </row>
    <row r="512" spans="1:6" x14ac:dyDescent="0.25">
      <c r="A512">
        <v>10295610</v>
      </c>
      <c r="B512">
        <v>2025</v>
      </c>
      <c r="C512" t="s">
        <v>337</v>
      </c>
      <c r="D512">
        <v>10295610889</v>
      </c>
      <c r="E512" t="s">
        <v>406</v>
      </c>
      <c r="F512">
        <v>10044.45507</v>
      </c>
    </row>
    <row r="513" spans="1:6" x14ac:dyDescent="0.25">
      <c r="A513">
        <v>10436593</v>
      </c>
      <c r="B513">
        <v>2024</v>
      </c>
      <c r="C513" t="s">
        <v>338</v>
      </c>
      <c r="D513">
        <v>10436593860</v>
      </c>
      <c r="E513" t="s">
        <v>137</v>
      </c>
      <c r="F513">
        <v>44115.61232</v>
      </c>
    </row>
    <row r="514" spans="1:6" x14ac:dyDescent="0.25">
      <c r="A514">
        <v>20509659</v>
      </c>
      <c r="B514">
        <v>2024</v>
      </c>
      <c r="C514" t="s">
        <v>339</v>
      </c>
      <c r="D514">
        <v>20509659967</v>
      </c>
      <c r="E514" t="s">
        <v>135</v>
      </c>
      <c r="F514">
        <v>347836.84062999999</v>
      </c>
    </row>
    <row r="515" spans="1:6" x14ac:dyDescent="0.25">
      <c r="A515">
        <v>20509659</v>
      </c>
      <c r="B515">
        <v>2025</v>
      </c>
      <c r="C515" t="s">
        <v>339</v>
      </c>
      <c r="D515">
        <v>20509659967</v>
      </c>
      <c r="E515" t="s">
        <v>135</v>
      </c>
      <c r="F515">
        <v>87761.063760000005</v>
      </c>
    </row>
    <row r="516" spans="1:6" x14ac:dyDescent="0.25">
      <c r="A516">
        <v>20611391545</v>
      </c>
      <c r="B516">
        <v>2024</v>
      </c>
      <c r="C516" t="s">
        <v>340</v>
      </c>
      <c r="D516">
        <v>20611391545</v>
      </c>
      <c r="E516" t="s">
        <v>137</v>
      </c>
      <c r="F516">
        <v>43548.689100000003</v>
      </c>
    </row>
    <row r="517" spans="1:6" x14ac:dyDescent="0.25">
      <c r="A517" s="12"/>
    </row>
    <row r="518" spans="1:6" x14ac:dyDescent="0.25">
      <c r="A518" s="12"/>
    </row>
    <row r="519" spans="1:6" x14ac:dyDescent="0.25">
      <c r="A519" s="12"/>
    </row>
    <row r="520" spans="1:6" x14ac:dyDescent="0.25">
      <c r="A520" s="12"/>
    </row>
    <row r="521" spans="1:6" x14ac:dyDescent="0.25">
      <c r="A521" s="12"/>
    </row>
    <row r="522" spans="1:6" x14ac:dyDescent="0.25">
      <c r="A522" s="12"/>
    </row>
    <row r="523" spans="1:6" x14ac:dyDescent="0.25">
      <c r="A523" s="12"/>
    </row>
    <row r="524" spans="1:6" x14ac:dyDescent="0.25">
      <c r="A524" s="12"/>
    </row>
    <row r="525" spans="1:6" x14ac:dyDescent="0.25">
      <c r="A525" s="12"/>
    </row>
    <row r="526" spans="1:6" x14ac:dyDescent="0.25">
      <c r="A526" s="12"/>
    </row>
    <row r="527" spans="1:6" x14ac:dyDescent="0.25">
      <c r="A527" s="12"/>
    </row>
    <row r="528" spans="1:6" x14ac:dyDescent="0.25">
      <c r="A528" s="12"/>
    </row>
    <row r="529" spans="1:1" x14ac:dyDescent="0.25">
      <c r="A529" s="12"/>
    </row>
    <row r="530" spans="1:1" x14ac:dyDescent="0.25">
      <c r="A530" s="12"/>
    </row>
    <row r="531" spans="1:1" x14ac:dyDescent="0.25">
      <c r="A531" s="12"/>
    </row>
    <row r="532" spans="1:1" x14ac:dyDescent="0.25">
      <c r="A532" s="12"/>
    </row>
    <row r="533" spans="1:1" x14ac:dyDescent="0.25">
      <c r="A533" s="12"/>
    </row>
    <row r="534" spans="1:1" x14ac:dyDescent="0.25">
      <c r="A534" s="12"/>
    </row>
    <row r="535" spans="1:1" x14ac:dyDescent="0.25">
      <c r="A535" s="12"/>
    </row>
    <row r="536" spans="1:1" x14ac:dyDescent="0.25">
      <c r="A536" s="12"/>
    </row>
    <row r="537" spans="1:1" x14ac:dyDescent="0.25">
      <c r="A537" s="12"/>
    </row>
    <row r="538" spans="1:1" x14ac:dyDescent="0.25">
      <c r="A538" s="12"/>
    </row>
    <row r="539" spans="1:1" x14ac:dyDescent="0.25">
      <c r="A539" s="12"/>
    </row>
    <row r="540" spans="1:1" x14ac:dyDescent="0.25">
      <c r="A540" s="12"/>
    </row>
    <row r="541" spans="1:1" x14ac:dyDescent="0.25">
      <c r="A541" s="12"/>
    </row>
    <row r="542" spans="1:1" x14ac:dyDescent="0.25">
      <c r="A542" s="12"/>
    </row>
    <row r="543" spans="1:1" x14ac:dyDescent="0.25">
      <c r="A543" s="12"/>
    </row>
    <row r="544" spans="1:1" x14ac:dyDescent="0.25">
      <c r="A544" s="12"/>
    </row>
    <row r="545" spans="1:1" x14ac:dyDescent="0.25">
      <c r="A545" s="12"/>
    </row>
    <row r="546" spans="1:1" x14ac:dyDescent="0.25">
      <c r="A546" s="12"/>
    </row>
    <row r="547" spans="1:1" x14ac:dyDescent="0.25">
      <c r="A547" s="12"/>
    </row>
    <row r="548" spans="1:1" x14ac:dyDescent="0.25">
      <c r="A548" s="12"/>
    </row>
    <row r="549" spans="1:1" x14ac:dyDescent="0.25">
      <c r="A549" s="12"/>
    </row>
    <row r="550" spans="1:1" x14ac:dyDescent="0.25">
      <c r="A550" s="12"/>
    </row>
    <row r="551" spans="1:1" x14ac:dyDescent="0.25">
      <c r="A551" s="12"/>
    </row>
    <row r="552" spans="1:1" x14ac:dyDescent="0.25">
      <c r="A552" s="12"/>
    </row>
    <row r="553" spans="1:1" x14ac:dyDescent="0.25">
      <c r="A553" s="12"/>
    </row>
    <row r="554" spans="1:1" x14ac:dyDescent="0.25">
      <c r="A554" s="12"/>
    </row>
    <row r="555" spans="1:1" x14ac:dyDescent="0.25">
      <c r="A555" s="12"/>
    </row>
    <row r="556" spans="1:1" x14ac:dyDescent="0.25">
      <c r="A556" s="12"/>
    </row>
    <row r="557" spans="1:1" x14ac:dyDescent="0.25">
      <c r="A557" s="12"/>
    </row>
    <row r="558" spans="1:1" x14ac:dyDescent="0.25">
      <c r="A558" s="12"/>
    </row>
    <row r="559" spans="1:1" x14ac:dyDescent="0.25">
      <c r="A559" s="12"/>
    </row>
    <row r="560" spans="1:1" x14ac:dyDescent="0.25">
      <c r="A560" s="12"/>
    </row>
    <row r="561" spans="1:1" x14ac:dyDescent="0.25">
      <c r="A561" s="12"/>
    </row>
    <row r="562" spans="1:1" x14ac:dyDescent="0.25">
      <c r="A562" s="12"/>
    </row>
    <row r="563" spans="1:1" x14ac:dyDescent="0.25">
      <c r="A563" s="12"/>
    </row>
    <row r="564" spans="1:1" x14ac:dyDescent="0.25">
      <c r="A564" s="12"/>
    </row>
    <row r="565" spans="1:1" x14ac:dyDescent="0.25">
      <c r="A565" s="12"/>
    </row>
    <row r="566" spans="1:1" x14ac:dyDescent="0.25">
      <c r="A566" s="12"/>
    </row>
    <row r="567" spans="1:1" x14ac:dyDescent="0.25">
      <c r="A567" s="12"/>
    </row>
    <row r="568" spans="1:1" x14ac:dyDescent="0.25">
      <c r="A568" s="12"/>
    </row>
    <row r="569" spans="1:1" x14ac:dyDescent="0.25">
      <c r="A569" s="12"/>
    </row>
    <row r="570" spans="1:1" x14ac:dyDescent="0.25">
      <c r="A570" s="12"/>
    </row>
    <row r="571" spans="1:1" x14ac:dyDescent="0.25">
      <c r="A571" s="12"/>
    </row>
    <row r="572" spans="1:1" x14ac:dyDescent="0.25">
      <c r="A572" s="12"/>
    </row>
    <row r="573" spans="1:1" x14ac:dyDescent="0.25">
      <c r="A573" s="12"/>
    </row>
    <row r="574" spans="1:1" x14ac:dyDescent="0.25">
      <c r="A574" s="12"/>
    </row>
    <row r="575" spans="1:1" x14ac:dyDescent="0.25">
      <c r="A575" s="12"/>
    </row>
    <row r="576" spans="1:1" x14ac:dyDescent="0.25">
      <c r="A576" s="12"/>
    </row>
    <row r="577" spans="1:1" x14ac:dyDescent="0.25">
      <c r="A577" s="12"/>
    </row>
    <row r="578" spans="1:1" x14ac:dyDescent="0.25">
      <c r="A578" s="12"/>
    </row>
    <row r="579" spans="1:1" x14ac:dyDescent="0.25">
      <c r="A579" s="12"/>
    </row>
    <row r="580" spans="1:1" x14ac:dyDescent="0.25">
      <c r="A580" s="12"/>
    </row>
    <row r="581" spans="1:1" x14ac:dyDescent="0.25">
      <c r="A581" s="12"/>
    </row>
    <row r="582" spans="1:1" x14ac:dyDescent="0.25">
      <c r="A582" s="12"/>
    </row>
    <row r="583" spans="1:1" x14ac:dyDescent="0.25">
      <c r="A583" s="12"/>
    </row>
    <row r="584" spans="1:1" x14ac:dyDescent="0.25">
      <c r="A584" s="12"/>
    </row>
    <row r="585" spans="1:1" x14ac:dyDescent="0.25">
      <c r="A585" s="12"/>
    </row>
    <row r="586" spans="1:1" x14ac:dyDescent="0.25">
      <c r="A586" s="12"/>
    </row>
    <row r="587" spans="1:1" x14ac:dyDescent="0.25">
      <c r="A587" s="12"/>
    </row>
    <row r="588" spans="1:1" x14ac:dyDescent="0.25">
      <c r="A588" s="12"/>
    </row>
    <row r="589" spans="1:1" x14ac:dyDescent="0.25">
      <c r="A589" s="12"/>
    </row>
    <row r="590" spans="1:1" x14ac:dyDescent="0.25">
      <c r="A590" s="12"/>
    </row>
    <row r="591" spans="1:1" x14ac:dyDescent="0.25">
      <c r="A591" s="12"/>
    </row>
    <row r="592" spans="1:1" x14ac:dyDescent="0.25">
      <c r="A592" s="12"/>
    </row>
    <row r="593" spans="1:1" x14ac:dyDescent="0.25">
      <c r="A593" s="12"/>
    </row>
    <row r="594" spans="1:1" x14ac:dyDescent="0.25">
      <c r="A594" s="12"/>
    </row>
    <row r="595" spans="1:1" x14ac:dyDescent="0.25">
      <c r="A595" s="12"/>
    </row>
    <row r="596" spans="1:1" x14ac:dyDescent="0.25">
      <c r="A596" s="12"/>
    </row>
    <row r="597" spans="1:1" x14ac:dyDescent="0.25">
      <c r="A597" s="12"/>
    </row>
    <row r="598" spans="1:1" x14ac:dyDescent="0.25">
      <c r="A598" s="12"/>
    </row>
    <row r="599" spans="1:1" x14ac:dyDescent="0.25">
      <c r="A599" s="12"/>
    </row>
    <row r="600" spans="1:1" x14ac:dyDescent="0.25">
      <c r="A600" s="12"/>
    </row>
    <row r="601" spans="1:1" x14ac:dyDescent="0.25">
      <c r="A601" s="12"/>
    </row>
    <row r="602" spans="1:1" x14ac:dyDescent="0.25">
      <c r="A602" s="12"/>
    </row>
    <row r="603" spans="1:1" x14ac:dyDescent="0.25">
      <c r="A603" s="12"/>
    </row>
    <row r="604" spans="1:1" x14ac:dyDescent="0.25">
      <c r="A604" s="12"/>
    </row>
    <row r="605" spans="1:1" x14ac:dyDescent="0.25">
      <c r="A605" s="12"/>
    </row>
    <row r="606" spans="1:1" x14ac:dyDescent="0.25">
      <c r="A606" s="12"/>
    </row>
    <row r="607" spans="1:1" x14ac:dyDescent="0.25">
      <c r="A607" s="12"/>
    </row>
    <row r="608" spans="1:1" x14ac:dyDescent="0.25">
      <c r="A608" s="12"/>
    </row>
    <row r="609" spans="1:1" x14ac:dyDescent="0.25">
      <c r="A609" s="12"/>
    </row>
    <row r="610" spans="1:1" x14ac:dyDescent="0.25">
      <c r="A610" s="12"/>
    </row>
    <row r="611" spans="1:1" x14ac:dyDescent="0.25">
      <c r="A611" s="12"/>
    </row>
    <row r="612" spans="1:1" x14ac:dyDescent="0.25">
      <c r="A612" s="12"/>
    </row>
    <row r="613" spans="1:1" x14ac:dyDescent="0.25">
      <c r="A613" s="12"/>
    </row>
    <row r="614" spans="1:1" x14ac:dyDescent="0.25">
      <c r="A614" s="12"/>
    </row>
    <row r="615" spans="1:1" x14ac:dyDescent="0.25">
      <c r="A615" s="12"/>
    </row>
    <row r="616" spans="1:1" x14ac:dyDescent="0.25">
      <c r="A616" s="12"/>
    </row>
    <row r="617" spans="1:1" x14ac:dyDescent="0.25">
      <c r="A617" s="12"/>
    </row>
    <row r="618" spans="1:1" x14ac:dyDescent="0.25">
      <c r="A618" s="12"/>
    </row>
    <row r="619" spans="1:1" x14ac:dyDescent="0.25">
      <c r="A619" s="12"/>
    </row>
    <row r="620" spans="1:1" x14ac:dyDescent="0.25">
      <c r="A620" s="12"/>
    </row>
    <row r="621" spans="1:1" x14ac:dyDescent="0.25">
      <c r="A621" s="12"/>
    </row>
    <row r="622" spans="1:1" x14ac:dyDescent="0.25">
      <c r="A622" s="13"/>
    </row>
    <row r="623" spans="1:1" x14ac:dyDescent="0.25">
      <c r="A623" s="12"/>
    </row>
    <row r="624" spans="1:1" x14ac:dyDescent="0.25">
      <c r="A624" s="12"/>
    </row>
    <row r="625" spans="1:1" x14ac:dyDescent="0.25">
      <c r="A625" s="12"/>
    </row>
    <row r="626" spans="1:1" x14ac:dyDescent="0.25">
      <c r="A626" s="12"/>
    </row>
    <row r="627" spans="1:1" x14ac:dyDescent="0.25">
      <c r="A627" s="12"/>
    </row>
    <row r="628" spans="1:1" x14ac:dyDescent="0.25">
      <c r="A628" s="12"/>
    </row>
    <row r="629" spans="1:1" x14ac:dyDescent="0.25">
      <c r="A629" s="12"/>
    </row>
    <row r="630" spans="1:1" x14ac:dyDescent="0.25">
      <c r="A630" s="12"/>
    </row>
    <row r="631" spans="1:1" x14ac:dyDescent="0.25">
      <c r="A631" s="12"/>
    </row>
    <row r="632" spans="1:1" x14ac:dyDescent="0.25">
      <c r="A632" s="12"/>
    </row>
    <row r="633" spans="1:1" x14ac:dyDescent="0.25">
      <c r="A633" s="12"/>
    </row>
    <row r="634" spans="1:1" x14ac:dyDescent="0.25">
      <c r="A634" s="12"/>
    </row>
    <row r="635" spans="1:1" x14ac:dyDescent="0.25">
      <c r="A635" s="12"/>
    </row>
    <row r="636" spans="1:1" x14ac:dyDescent="0.25">
      <c r="A636" s="12"/>
    </row>
    <row r="637" spans="1:1" x14ac:dyDescent="0.25">
      <c r="A637" s="12"/>
    </row>
    <row r="638" spans="1:1" x14ac:dyDescent="0.25">
      <c r="A638" s="12"/>
    </row>
    <row r="639" spans="1:1" x14ac:dyDescent="0.25">
      <c r="A639" s="12"/>
    </row>
    <row r="640" spans="1:1" x14ac:dyDescent="0.25">
      <c r="A640" s="12"/>
    </row>
    <row r="641" spans="1:4" x14ac:dyDescent="0.25">
      <c r="A641" s="12"/>
    </row>
    <row r="642" spans="1:4" x14ac:dyDescent="0.25">
      <c r="A642" s="12"/>
    </row>
    <row r="643" spans="1:4" x14ac:dyDescent="0.25">
      <c r="A643" s="12"/>
    </row>
    <row r="644" spans="1:4" x14ac:dyDescent="0.25">
      <c r="A644" s="12"/>
    </row>
    <row r="645" spans="1:4" x14ac:dyDescent="0.25">
      <c r="A645" s="12"/>
    </row>
    <row r="646" spans="1:4" x14ac:dyDescent="0.25">
      <c r="A646" s="12"/>
    </row>
    <row r="647" spans="1:4" x14ac:dyDescent="0.25">
      <c r="A647" s="12"/>
    </row>
    <row r="648" spans="1:4" x14ac:dyDescent="0.25">
      <c r="A648" s="12"/>
    </row>
    <row r="649" spans="1:4" x14ac:dyDescent="0.25">
      <c r="A649" s="12"/>
    </row>
    <row r="650" spans="1:4" x14ac:dyDescent="0.25">
      <c r="A650" s="12"/>
    </row>
    <row r="651" spans="1:4" x14ac:dyDescent="0.25">
      <c r="A651" s="12"/>
    </row>
    <row r="652" spans="1:4" x14ac:dyDescent="0.25">
      <c r="A652" s="12"/>
    </row>
    <row r="653" spans="1:4" x14ac:dyDescent="0.25">
      <c r="A653" s="12"/>
    </row>
    <row r="654" spans="1:4" x14ac:dyDescent="0.25">
      <c r="A654" s="12"/>
    </row>
    <row r="655" spans="1:4" x14ac:dyDescent="0.25">
      <c r="A655" s="13"/>
      <c r="D655" s="6"/>
    </row>
    <row r="656" spans="1:4" x14ac:dyDescent="0.25">
      <c r="A656" s="12"/>
    </row>
    <row r="657" spans="1:1" x14ac:dyDescent="0.25">
      <c r="A657" s="12"/>
    </row>
    <row r="658" spans="1:1" x14ac:dyDescent="0.25">
      <c r="A658" s="12"/>
    </row>
    <row r="659" spans="1:1" x14ac:dyDescent="0.25">
      <c r="A659" s="12"/>
    </row>
    <row r="660" spans="1:1" x14ac:dyDescent="0.25">
      <c r="A660" s="12"/>
    </row>
    <row r="661" spans="1:1" x14ac:dyDescent="0.25">
      <c r="A661" s="12"/>
    </row>
    <row r="662" spans="1:1" x14ac:dyDescent="0.25">
      <c r="A662" s="12"/>
    </row>
    <row r="663" spans="1:1" x14ac:dyDescent="0.25">
      <c r="A663" s="12"/>
    </row>
    <row r="664" spans="1:1" x14ac:dyDescent="0.25">
      <c r="A664" s="12"/>
    </row>
    <row r="665" spans="1:1" x14ac:dyDescent="0.25">
      <c r="A665" s="12"/>
    </row>
    <row r="666" spans="1:1" x14ac:dyDescent="0.25">
      <c r="A666" s="12"/>
    </row>
    <row r="667" spans="1:1" x14ac:dyDescent="0.25">
      <c r="A667" s="12"/>
    </row>
    <row r="668" spans="1:1" x14ac:dyDescent="0.25">
      <c r="A668" s="12"/>
    </row>
    <row r="669" spans="1:1" x14ac:dyDescent="0.25">
      <c r="A669" s="12"/>
    </row>
    <row r="670" spans="1:1" x14ac:dyDescent="0.25">
      <c r="A670" s="12"/>
    </row>
    <row r="671" spans="1:1" x14ac:dyDescent="0.25">
      <c r="A671" s="12"/>
    </row>
    <row r="672" spans="1:1" x14ac:dyDescent="0.25">
      <c r="A672" s="12"/>
    </row>
    <row r="673" spans="1:1" x14ac:dyDescent="0.25">
      <c r="A673" s="12"/>
    </row>
    <row r="674" spans="1:1" x14ac:dyDescent="0.25">
      <c r="A674" s="12"/>
    </row>
    <row r="675" spans="1:1" x14ac:dyDescent="0.25">
      <c r="A675" s="12"/>
    </row>
    <row r="676" spans="1:1" x14ac:dyDescent="0.25">
      <c r="A676" s="12"/>
    </row>
    <row r="677" spans="1:1" x14ac:dyDescent="0.25">
      <c r="A677" s="12"/>
    </row>
    <row r="678" spans="1:1" x14ac:dyDescent="0.25">
      <c r="A678" s="12"/>
    </row>
    <row r="679" spans="1:1" x14ac:dyDescent="0.25">
      <c r="A679" s="12"/>
    </row>
    <row r="680" spans="1:1" x14ac:dyDescent="0.25">
      <c r="A680" s="12"/>
    </row>
    <row r="681" spans="1:1" x14ac:dyDescent="0.25">
      <c r="A681" s="12"/>
    </row>
    <row r="682" spans="1:1" x14ac:dyDescent="0.25">
      <c r="A682" s="12"/>
    </row>
    <row r="683" spans="1:1" x14ac:dyDescent="0.25">
      <c r="A683" s="12"/>
    </row>
    <row r="684" spans="1:1" x14ac:dyDescent="0.25">
      <c r="A684" s="12"/>
    </row>
    <row r="685" spans="1:1" x14ac:dyDescent="0.25">
      <c r="A685" s="12"/>
    </row>
    <row r="686" spans="1:1" x14ac:dyDescent="0.25">
      <c r="A686" s="12"/>
    </row>
    <row r="687" spans="1:1" x14ac:dyDescent="0.25">
      <c r="A687" s="12"/>
    </row>
    <row r="688" spans="1:1" x14ac:dyDescent="0.25">
      <c r="A688" s="12"/>
    </row>
    <row r="689" spans="1:1" x14ac:dyDescent="0.25">
      <c r="A689" s="12"/>
    </row>
    <row r="690" spans="1:1" x14ac:dyDescent="0.25">
      <c r="A690" s="12"/>
    </row>
    <row r="691" spans="1:1" x14ac:dyDescent="0.25">
      <c r="A691" s="12"/>
    </row>
    <row r="692" spans="1:1" x14ac:dyDescent="0.25">
      <c r="A692" s="12"/>
    </row>
    <row r="693" spans="1:1" x14ac:dyDescent="0.25">
      <c r="A693" s="12"/>
    </row>
    <row r="694" spans="1:1" x14ac:dyDescent="0.25">
      <c r="A694" s="12"/>
    </row>
    <row r="695" spans="1:1" x14ac:dyDescent="0.25">
      <c r="A695" s="12"/>
    </row>
    <row r="696" spans="1:1" x14ac:dyDescent="0.25">
      <c r="A696" s="12"/>
    </row>
    <row r="697" spans="1:1" x14ac:dyDescent="0.25">
      <c r="A697" s="12"/>
    </row>
    <row r="698" spans="1:1" x14ac:dyDescent="0.25">
      <c r="A698" s="12"/>
    </row>
    <row r="699" spans="1:1" x14ac:dyDescent="0.25">
      <c r="A699" s="12"/>
    </row>
    <row r="700" spans="1:1" x14ac:dyDescent="0.25">
      <c r="A700" s="12"/>
    </row>
    <row r="701" spans="1:1" x14ac:dyDescent="0.25">
      <c r="A701" s="12"/>
    </row>
    <row r="702" spans="1:1" x14ac:dyDescent="0.25">
      <c r="A702" s="12"/>
    </row>
    <row r="703" spans="1:1" x14ac:dyDescent="0.25">
      <c r="A703" s="12"/>
    </row>
    <row r="704" spans="1:1" x14ac:dyDescent="0.25">
      <c r="A704" s="12"/>
    </row>
    <row r="705" spans="1:1" x14ac:dyDescent="0.25">
      <c r="A705" s="12"/>
    </row>
    <row r="706" spans="1:1" x14ac:dyDescent="0.25">
      <c r="A706" s="12"/>
    </row>
    <row r="707" spans="1:1" x14ac:dyDescent="0.25">
      <c r="A707" s="12"/>
    </row>
    <row r="708" spans="1:1" x14ac:dyDescent="0.25">
      <c r="A708" s="12"/>
    </row>
    <row r="709" spans="1:1" x14ac:dyDescent="0.25">
      <c r="A709" s="12"/>
    </row>
    <row r="710" spans="1:1" x14ac:dyDescent="0.25">
      <c r="A710" s="12"/>
    </row>
    <row r="711" spans="1:1" x14ac:dyDescent="0.25">
      <c r="A711" s="12"/>
    </row>
    <row r="712" spans="1:1" x14ac:dyDescent="0.25">
      <c r="A712" s="12"/>
    </row>
    <row r="713" spans="1:1" x14ac:dyDescent="0.25">
      <c r="A713" s="12"/>
    </row>
    <row r="714" spans="1:1" x14ac:dyDescent="0.25">
      <c r="A714" s="12"/>
    </row>
    <row r="715" spans="1:1" x14ac:dyDescent="0.25">
      <c r="A715" s="12"/>
    </row>
    <row r="716" spans="1:1" x14ac:dyDescent="0.25">
      <c r="A716" s="12"/>
    </row>
    <row r="717" spans="1:1" x14ac:dyDescent="0.25">
      <c r="A717" s="12"/>
    </row>
    <row r="718" spans="1:1" x14ac:dyDescent="0.25">
      <c r="A718" s="12"/>
    </row>
    <row r="719" spans="1:1" x14ac:dyDescent="0.25">
      <c r="A719" s="12"/>
    </row>
    <row r="720" spans="1:1" x14ac:dyDescent="0.25">
      <c r="A720" s="12"/>
    </row>
    <row r="721" spans="1:1" x14ac:dyDescent="0.25">
      <c r="A721" s="12"/>
    </row>
    <row r="722" spans="1:1" x14ac:dyDescent="0.25">
      <c r="A722" s="12"/>
    </row>
    <row r="723" spans="1:1" x14ac:dyDescent="0.25">
      <c r="A723" s="12"/>
    </row>
    <row r="724" spans="1:1" x14ac:dyDescent="0.25">
      <c r="A724" s="12"/>
    </row>
    <row r="725" spans="1:1" x14ac:dyDescent="0.25">
      <c r="A725" s="12"/>
    </row>
    <row r="726" spans="1:1" x14ac:dyDescent="0.25">
      <c r="A726" s="12"/>
    </row>
    <row r="727" spans="1:1" x14ac:dyDescent="0.25">
      <c r="A727" s="12"/>
    </row>
    <row r="728" spans="1:1" x14ac:dyDescent="0.25">
      <c r="A728" s="12"/>
    </row>
    <row r="729" spans="1:1" x14ac:dyDescent="0.25">
      <c r="A729" s="12"/>
    </row>
    <row r="730" spans="1:1" x14ac:dyDescent="0.25">
      <c r="A730" s="12"/>
    </row>
    <row r="731" spans="1:1" x14ac:dyDescent="0.25">
      <c r="A731" s="12"/>
    </row>
    <row r="732" spans="1:1" x14ac:dyDescent="0.25">
      <c r="A732" s="12"/>
    </row>
    <row r="733" spans="1:1" x14ac:dyDescent="0.25">
      <c r="A733" s="12"/>
    </row>
    <row r="734" spans="1:1" x14ac:dyDescent="0.25">
      <c r="A734" s="12"/>
    </row>
    <row r="735" spans="1:1" x14ac:dyDescent="0.25">
      <c r="A735" s="12"/>
    </row>
    <row r="736" spans="1:1" x14ac:dyDescent="0.25">
      <c r="A736" s="12"/>
    </row>
    <row r="737" spans="1:1" x14ac:dyDescent="0.25">
      <c r="A737" s="12"/>
    </row>
    <row r="738" spans="1:1" x14ac:dyDescent="0.25">
      <c r="A738" s="12"/>
    </row>
    <row r="739" spans="1:1" x14ac:dyDescent="0.25">
      <c r="A739" s="12"/>
    </row>
    <row r="740" spans="1:1" x14ac:dyDescent="0.25">
      <c r="A740" s="12"/>
    </row>
    <row r="741" spans="1:1" x14ac:dyDescent="0.25">
      <c r="A741" s="12"/>
    </row>
    <row r="742" spans="1:1" x14ac:dyDescent="0.25">
      <c r="A742" s="12"/>
    </row>
    <row r="743" spans="1:1" x14ac:dyDescent="0.25">
      <c r="A743" s="12"/>
    </row>
    <row r="744" spans="1:1" x14ac:dyDescent="0.25">
      <c r="A744" s="12"/>
    </row>
    <row r="745" spans="1:1" x14ac:dyDescent="0.25">
      <c r="A745" s="12"/>
    </row>
    <row r="746" spans="1:1" x14ac:dyDescent="0.25">
      <c r="A746" s="12"/>
    </row>
    <row r="747" spans="1:1" x14ac:dyDescent="0.25">
      <c r="A747" s="12"/>
    </row>
    <row r="748" spans="1:1" x14ac:dyDescent="0.25">
      <c r="A748" s="12"/>
    </row>
    <row r="749" spans="1:1" x14ac:dyDescent="0.25">
      <c r="A749" s="12"/>
    </row>
    <row r="750" spans="1:1" x14ac:dyDescent="0.25">
      <c r="A750" s="12"/>
    </row>
    <row r="751" spans="1:1" x14ac:dyDescent="0.25">
      <c r="A751" s="12"/>
    </row>
    <row r="752" spans="1:1" x14ac:dyDescent="0.25">
      <c r="A752" s="12"/>
    </row>
    <row r="753" spans="1:1" x14ac:dyDescent="0.25">
      <c r="A753" s="12"/>
    </row>
    <row r="754" spans="1:1" x14ac:dyDescent="0.25">
      <c r="A754" s="12"/>
    </row>
    <row r="755" spans="1:1" x14ac:dyDescent="0.25">
      <c r="A755" s="12"/>
    </row>
    <row r="756" spans="1:1" x14ac:dyDescent="0.25">
      <c r="A756" s="12"/>
    </row>
    <row r="757" spans="1:1" x14ac:dyDescent="0.25">
      <c r="A757" s="12"/>
    </row>
    <row r="758" spans="1:1" x14ac:dyDescent="0.25">
      <c r="A758" s="12"/>
    </row>
    <row r="759" spans="1:1" x14ac:dyDescent="0.25">
      <c r="A759" s="12"/>
    </row>
    <row r="760" spans="1:1" x14ac:dyDescent="0.25">
      <c r="A760" s="12"/>
    </row>
    <row r="761" spans="1:1" x14ac:dyDescent="0.25">
      <c r="A761" s="12"/>
    </row>
    <row r="762" spans="1:1" x14ac:dyDescent="0.25">
      <c r="A762" s="12"/>
    </row>
    <row r="763" spans="1:1" x14ac:dyDescent="0.25">
      <c r="A763" s="12"/>
    </row>
    <row r="764" spans="1:1" x14ac:dyDescent="0.25">
      <c r="A764" s="12"/>
    </row>
    <row r="765" spans="1:1" x14ac:dyDescent="0.25">
      <c r="A765" s="12"/>
    </row>
    <row r="766" spans="1:1" x14ac:dyDescent="0.25">
      <c r="A766" s="12"/>
    </row>
    <row r="767" spans="1:1" x14ac:dyDescent="0.25">
      <c r="A767" s="12"/>
    </row>
    <row r="768" spans="1:1" x14ac:dyDescent="0.25">
      <c r="A768" s="12"/>
    </row>
    <row r="769" spans="1:1" x14ac:dyDescent="0.25">
      <c r="A769" s="12"/>
    </row>
    <row r="770" spans="1:1" x14ac:dyDescent="0.25">
      <c r="A770" s="12"/>
    </row>
    <row r="771" spans="1:1" x14ac:dyDescent="0.25">
      <c r="A771" s="12"/>
    </row>
    <row r="772" spans="1:1" x14ac:dyDescent="0.25">
      <c r="A772" s="12"/>
    </row>
    <row r="773" spans="1:1" x14ac:dyDescent="0.25">
      <c r="A773" s="12"/>
    </row>
    <row r="774" spans="1:1" x14ac:dyDescent="0.25">
      <c r="A774" s="12"/>
    </row>
    <row r="775" spans="1:1" x14ac:dyDescent="0.25">
      <c r="A775" s="12"/>
    </row>
    <row r="776" spans="1:1" x14ac:dyDescent="0.25">
      <c r="A776" s="12"/>
    </row>
    <row r="777" spans="1:1" x14ac:dyDescent="0.25">
      <c r="A777" s="12"/>
    </row>
    <row r="778" spans="1:1" x14ac:dyDescent="0.25">
      <c r="A778" s="12"/>
    </row>
    <row r="779" spans="1:1" x14ac:dyDescent="0.25">
      <c r="A779" s="12"/>
    </row>
    <row r="780" spans="1:1" x14ac:dyDescent="0.25">
      <c r="A780" s="12"/>
    </row>
    <row r="781" spans="1:1" x14ac:dyDescent="0.25">
      <c r="A781" s="12"/>
    </row>
    <row r="782" spans="1:1" x14ac:dyDescent="0.25">
      <c r="A782" s="12"/>
    </row>
    <row r="783" spans="1:1" x14ac:dyDescent="0.25">
      <c r="A783" s="12"/>
    </row>
    <row r="784" spans="1:1" x14ac:dyDescent="0.25">
      <c r="A784" s="12"/>
    </row>
    <row r="785" spans="1:4" x14ac:dyDescent="0.25">
      <c r="A785" s="12"/>
    </row>
    <row r="786" spans="1:4" x14ac:dyDescent="0.25">
      <c r="A786" s="12"/>
    </row>
    <row r="787" spans="1:4" x14ac:dyDescent="0.25">
      <c r="A787" s="12"/>
    </row>
    <row r="788" spans="1:4" x14ac:dyDescent="0.25">
      <c r="A788" s="12"/>
    </row>
    <row r="789" spans="1:4" x14ac:dyDescent="0.25">
      <c r="A789" s="12"/>
    </row>
    <row r="790" spans="1:4" x14ac:dyDescent="0.25">
      <c r="A790" s="12"/>
    </row>
    <row r="791" spans="1:4" x14ac:dyDescent="0.25">
      <c r="A791" s="12"/>
    </row>
    <row r="792" spans="1:4" x14ac:dyDescent="0.25">
      <c r="A792" s="12"/>
    </row>
    <row r="793" spans="1:4" x14ac:dyDescent="0.25">
      <c r="A793" s="13"/>
      <c r="D793" s="6"/>
    </row>
    <row r="794" spans="1:4" x14ac:dyDescent="0.25">
      <c r="A794" s="13"/>
      <c r="D794" s="6"/>
    </row>
    <row r="795" spans="1:4" x14ac:dyDescent="0.25">
      <c r="A795" s="13"/>
      <c r="D795" s="6"/>
    </row>
    <row r="796" spans="1:4" x14ac:dyDescent="0.25">
      <c r="A796" s="12"/>
    </row>
    <row r="797" spans="1:4" x14ac:dyDescent="0.25">
      <c r="A797" s="12"/>
    </row>
    <row r="798" spans="1:4" x14ac:dyDescent="0.25">
      <c r="A798" s="12"/>
    </row>
    <row r="799" spans="1:4" x14ac:dyDescent="0.25">
      <c r="A799" s="12"/>
    </row>
    <row r="800" spans="1:4" x14ac:dyDescent="0.25">
      <c r="A800" s="12"/>
    </row>
    <row r="801" spans="1:1" x14ac:dyDescent="0.25">
      <c r="A801" s="12"/>
    </row>
    <row r="802" spans="1:1" x14ac:dyDescent="0.25">
      <c r="A802" s="12"/>
    </row>
    <row r="803" spans="1:1" x14ac:dyDescent="0.25">
      <c r="A803" s="12"/>
    </row>
    <row r="804" spans="1:1" x14ac:dyDescent="0.25">
      <c r="A804" s="12"/>
    </row>
    <row r="805" spans="1:1" x14ac:dyDescent="0.25">
      <c r="A805" s="12"/>
    </row>
    <row r="806" spans="1:1" x14ac:dyDescent="0.25">
      <c r="A806" s="12"/>
    </row>
    <row r="807" spans="1:1" x14ac:dyDescent="0.25">
      <c r="A807" s="12"/>
    </row>
    <row r="808" spans="1:1" x14ac:dyDescent="0.25">
      <c r="A808" s="12"/>
    </row>
    <row r="809" spans="1:1" x14ac:dyDescent="0.25">
      <c r="A809" s="12"/>
    </row>
    <row r="810" spans="1:1" x14ac:dyDescent="0.25">
      <c r="A810" s="12"/>
    </row>
    <row r="811" spans="1:1" x14ac:dyDescent="0.25">
      <c r="A811" s="12"/>
    </row>
    <row r="812" spans="1:1" x14ac:dyDescent="0.25">
      <c r="A812" s="12"/>
    </row>
    <row r="813" spans="1:1" x14ac:dyDescent="0.25">
      <c r="A813" s="12"/>
    </row>
    <row r="814" spans="1:1" x14ac:dyDescent="0.25">
      <c r="A814" s="12"/>
    </row>
    <row r="815" spans="1:1" x14ac:dyDescent="0.25">
      <c r="A815" s="12"/>
    </row>
    <row r="816" spans="1:1" x14ac:dyDescent="0.25">
      <c r="A816" s="12"/>
    </row>
    <row r="817" spans="1:1" x14ac:dyDescent="0.25">
      <c r="A817" s="12"/>
    </row>
    <row r="818" spans="1:1" x14ac:dyDescent="0.25">
      <c r="A818" s="12"/>
    </row>
    <row r="819" spans="1:1" x14ac:dyDescent="0.25">
      <c r="A819" s="12"/>
    </row>
    <row r="820" spans="1:1" x14ac:dyDescent="0.25">
      <c r="A820" s="12"/>
    </row>
    <row r="821" spans="1:1" x14ac:dyDescent="0.25">
      <c r="A821" s="12"/>
    </row>
    <row r="822" spans="1:1" x14ac:dyDescent="0.25">
      <c r="A822" s="12"/>
    </row>
    <row r="823" spans="1:1" x14ac:dyDescent="0.25">
      <c r="A823" s="12"/>
    </row>
    <row r="824" spans="1:1" x14ac:dyDescent="0.25">
      <c r="A824" s="12"/>
    </row>
    <row r="825" spans="1:1" x14ac:dyDescent="0.25">
      <c r="A825" s="12"/>
    </row>
    <row r="826" spans="1:1" x14ac:dyDescent="0.25">
      <c r="A826" s="12"/>
    </row>
    <row r="827" spans="1:1" x14ac:dyDescent="0.25">
      <c r="A827" s="12"/>
    </row>
    <row r="828" spans="1:1" x14ac:dyDescent="0.25">
      <c r="A828" s="12"/>
    </row>
    <row r="829" spans="1:1" x14ac:dyDescent="0.25">
      <c r="A829" s="12"/>
    </row>
    <row r="830" spans="1:1" x14ac:dyDescent="0.25">
      <c r="A830" s="12"/>
    </row>
    <row r="831" spans="1:1" x14ac:dyDescent="0.25">
      <c r="A831" s="12"/>
    </row>
    <row r="832" spans="1:1" x14ac:dyDescent="0.25">
      <c r="A832" s="12"/>
    </row>
    <row r="833" spans="1:1" x14ac:dyDescent="0.25">
      <c r="A833" s="12"/>
    </row>
    <row r="834" spans="1:1" x14ac:dyDescent="0.25">
      <c r="A834" s="12"/>
    </row>
    <row r="835" spans="1:1" x14ac:dyDescent="0.25">
      <c r="A835" s="12"/>
    </row>
    <row r="836" spans="1:1" x14ac:dyDescent="0.25">
      <c r="A836" s="12"/>
    </row>
    <row r="837" spans="1:1" x14ac:dyDescent="0.25">
      <c r="A837" s="12"/>
    </row>
    <row r="838" spans="1:1" x14ac:dyDescent="0.25">
      <c r="A838" s="12"/>
    </row>
    <row r="839" spans="1:1" x14ac:dyDescent="0.25">
      <c r="A839" s="12"/>
    </row>
    <row r="840" spans="1:1" x14ac:dyDescent="0.25">
      <c r="A840" s="12"/>
    </row>
    <row r="841" spans="1:1" x14ac:dyDescent="0.25">
      <c r="A841" s="12"/>
    </row>
    <row r="842" spans="1:1" x14ac:dyDescent="0.25">
      <c r="A842" s="12"/>
    </row>
    <row r="843" spans="1:1" x14ac:dyDescent="0.25">
      <c r="A843" s="12"/>
    </row>
    <row r="844" spans="1:1" x14ac:dyDescent="0.25">
      <c r="A844" s="12"/>
    </row>
    <row r="845" spans="1:1" x14ac:dyDescent="0.25">
      <c r="A845" s="12"/>
    </row>
    <row r="846" spans="1:1" x14ac:dyDescent="0.25">
      <c r="A846" s="12"/>
    </row>
    <row r="847" spans="1:1" x14ac:dyDescent="0.25">
      <c r="A847" s="12"/>
    </row>
    <row r="848" spans="1:1" x14ac:dyDescent="0.25">
      <c r="A848" s="12"/>
    </row>
    <row r="849" spans="1:4" x14ac:dyDescent="0.25">
      <c r="A849" s="12"/>
    </row>
    <row r="850" spans="1:4" x14ac:dyDescent="0.25">
      <c r="A850" s="12"/>
    </row>
    <row r="851" spans="1:4" x14ac:dyDescent="0.25">
      <c r="A851" s="12"/>
    </row>
    <row r="852" spans="1:4" x14ac:dyDescent="0.25">
      <c r="A852" s="12"/>
    </row>
    <row r="853" spans="1:4" x14ac:dyDescent="0.25">
      <c r="A853" s="12"/>
    </row>
    <row r="854" spans="1:4" x14ac:dyDescent="0.25">
      <c r="A854" s="12"/>
    </row>
    <row r="855" spans="1:4" x14ac:dyDescent="0.25">
      <c r="A855" s="12"/>
    </row>
    <row r="856" spans="1:4" x14ac:dyDescent="0.25">
      <c r="A856" s="12"/>
    </row>
    <row r="857" spans="1:4" x14ac:dyDescent="0.25">
      <c r="A857" s="12"/>
    </row>
    <row r="858" spans="1:4" x14ac:dyDescent="0.25">
      <c r="A858" s="12"/>
    </row>
    <row r="859" spans="1:4" x14ac:dyDescent="0.25">
      <c r="A859" s="12"/>
    </row>
    <row r="860" spans="1:4" x14ac:dyDescent="0.25">
      <c r="A860" s="12"/>
    </row>
    <row r="861" spans="1:4" x14ac:dyDescent="0.25">
      <c r="A861" s="12"/>
    </row>
    <row r="862" spans="1:4" x14ac:dyDescent="0.25">
      <c r="A862" s="13"/>
      <c r="D862" s="6"/>
    </row>
    <row r="863" spans="1:4" x14ac:dyDescent="0.25">
      <c r="A863" s="13"/>
      <c r="D863" s="6"/>
    </row>
    <row r="864" spans="1:4" x14ac:dyDescent="0.25">
      <c r="A864" s="12"/>
    </row>
    <row r="865" spans="1:1" x14ac:dyDescent="0.25">
      <c r="A865" s="12"/>
    </row>
    <row r="866" spans="1:1" x14ac:dyDescent="0.25">
      <c r="A866" s="12"/>
    </row>
    <row r="867" spans="1:1" x14ac:dyDescent="0.25">
      <c r="A867" s="12"/>
    </row>
    <row r="868" spans="1:1" x14ac:dyDescent="0.25">
      <c r="A868" s="12"/>
    </row>
    <row r="869" spans="1:1" x14ac:dyDescent="0.25">
      <c r="A869" s="12"/>
    </row>
    <row r="870" spans="1:1" x14ac:dyDescent="0.25">
      <c r="A870" s="12"/>
    </row>
    <row r="871" spans="1:1" x14ac:dyDescent="0.25">
      <c r="A871" s="12"/>
    </row>
    <row r="872" spans="1:1" x14ac:dyDescent="0.25">
      <c r="A872" s="12"/>
    </row>
    <row r="873" spans="1:1" x14ac:dyDescent="0.25">
      <c r="A873" s="12"/>
    </row>
    <row r="874" spans="1:1" x14ac:dyDescent="0.25">
      <c r="A874" s="12"/>
    </row>
    <row r="875" spans="1:1" x14ac:dyDescent="0.25">
      <c r="A875" s="12"/>
    </row>
    <row r="876" spans="1:1" x14ac:dyDescent="0.25">
      <c r="A876" s="12"/>
    </row>
    <row r="877" spans="1:1" x14ac:dyDescent="0.25">
      <c r="A877" s="12"/>
    </row>
    <row r="878" spans="1:1" x14ac:dyDescent="0.25">
      <c r="A878" s="12"/>
    </row>
    <row r="879" spans="1:1" x14ac:dyDescent="0.25">
      <c r="A879" s="12"/>
    </row>
    <row r="880" spans="1:1" x14ac:dyDescent="0.25">
      <c r="A880" s="12"/>
    </row>
    <row r="881" spans="1:1" x14ac:dyDescent="0.25">
      <c r="A881" s="12"/>
    </row>
    <row r="882" spans="1:1" x14ac:dyDescent="0.25">
      <c r="A882" s="12"/>
    </row>
    <row r="883" spans="1:1" x14ac:dyDescent="0.25">
      <c r="A883" s="12"/>
    </row>
    <row r="884" spans="1:1" x14ac:dyDescent="0.25">
      <c r="A884" s="12"/>
    </row>
    <row r="885" spans="1:1" x14ac:dyDescent="0.25">
      <c r="A885" s="12"/>
    </row>
    <row r="886" spans="1:1" x14ac:dyDescent="0.25">
      <c r="A886" s="12"/>
    </row>
    <row r="887" spans="1:1" x14ac:dyDescent="0.25">
      <c r="A887" s="12"/>
    </row>
    <row r="888" spans="1:1" x14ac:dyDescent="0.25">
      <c r="A888" s="12"/>
    </row>
    <row r="889" spans="1:1" x14ac:dyDescent="0.25">
      <c r="A889" s="12"/>
    </row>
    <row r="890" spans="1:1" x14ac:dyDescent="0.25">
      <c r="A890" s="12"/>
    </row>
    <row r="891" spans="1:1" x14ac:dyDescent="0.25">
      <c r="A891" s="12"/>
    </row>
    <row r="892" spans="1:1" x14ac:dyDescent="0.25">
      <c r="A892" s="12"/>
    </row>
    <row r="893" spans="1:1" x14ac:dyDescent="0.25">
      <c r="A893" s="12"/>
    </row>
    <row r="894" spans="1:1" x14ac:dyDescent="0.25">
      <c r="A894" s="12"/>
    </row>
    <row r="895" spans="1:1" x14ac:dyDescent="0.25">
      <c r="A895" s="12"/>
    </row>
    <row r="896" spans="1:1" x14ac:dyDescent="0.25">
      <c r="A896" s="12"/>
    </row>
    <row r="897" spans="1:1" x14ac:dyDescent="0.25">
      <c r="A897" s="12"/>
    </row>
    <row r="898" spans="1:1" x14ac:dyDescent="0.25">
      <c r="A898" s="12"/>
    </row>
    <row r="899" spans="1:1" x14ac:dyDescent="0.25">
      <c r="A899" s="12"/>
    </row>
    <row r="900" spans="1:1" x14ac:dyDescent="0.25">
      <c r="A900" s="12"/>
    </row>
    <row r="901" spans="1:1" x14ac:dyDescent="0.25">
      <c r="A901" s="12"/>
    </row>
    <row r="902" spans="1:1" x14ac:dyDescent="0.25">
      <c r="A902" s="12"/>
    </row>
    <row r="903" spans="1:1" x14ac:dyDescent="0.25">
      <c r="A903" s="12"/>
    </row>
    <row r="904" spans="1:1" x14ac:dyDescent="0.25">
      <c r="A904" s="12"/>
    </row>
    <row r="905" spans="1:1" x14ac:dyDescent="0.25">
      <c r="A905" s="12"/>
    </row>
    <row r="906" spans="1:1" x14ac:dyDescent="0.25">
      <c r="A906" s="12"/>
    </row>
    <row r="907" spans="1:1" x14ac:dyDescent="0.25">
      <c r="A907" s="12"/>
    </row>
    <row r="908" spans="1:1" x14ac:dyDescent="0.25">
      <c r="A908" s="12"/>
    </row>
    <row r="909" spans="1:1" x14ac:dyDescent="0.25">
      <c r="A909" s="12"/>
    </row>
    <row r="910" spans="1:1" x14ac:dyDescent="0.25">
      <c r="A910" s="12"/>
    </row>
    <row r="911" spans="1:1" x14ac:dyDescent="0.25">
      <c r="A911" s="12"/>
    </row>
    <row r="912" spans="1:1" x14ac:dyDescent="0.25">
      <c r="A912" s="12"/>
    </row>
    <row r="913" spans="1:4" x14ac:dyDescent="0.25">
      <c r="A913" s="12"/>
    </row>
    <row r="914" spans="1:4" x14ac:dyDescent="0.25">
      <c r="A914" s="12"/>
    </row>
    <row r="915" spans="1:4" x14ac:dyDescent="0.25">
      <c r="A915" s="12"/>
    </row>
    <row r="916" spans="1:4" x14ac:dyDescent="0.25">
      <c r="A916" s="12"/>
    </row>
    <row r="917" spans="1:4" x14ac:dyDescent="0.25">
      <c r="A917" s="12"/>
    </row>
    <row r="918" spans="1:4" x14ac:dyDescent="0.25">
      <c r="A918" s="12"/>
    </row>
    <row r="919" spans="1:4" x14ac:dyDescent="0.25">
      <c r="A919" s="12"/>
    </row>
    <row r="920" spans="1:4" x14ac:dyDescent="0.25">
      <c r="A920" s="12"/>
    </row>
    <row r="921" spans="1:4" x14ac:dyDescent="0.25">
      <c r="A921" s="12"/>
    </row>
    <row r="922" spans="1:4" x14ac:dyDescent="0.25">
      <c r="A922" s="12"/>
    </row>
    <row r="923" spans="1:4" x14ac:dyDescent="0.25">
      <c r="A923" s="12"/>
    </row>
    <row r="924" spans="1:4" x14ac:dyDescent="0.25">
      <c r="A924" s="12"/>
    </row>
    <row r="925" spans="1:4" x14ac:dyDescent="0.25">
      <c r="A925" s="12"/>
    </row>
    <row r="926" spans="1:4" x14ac:dyDescent="0.25">
      <c r="A926" s="13"/>
      <c r="D926" s="6"/>
    </row>
    <row r="927" spans="1:4" x14ac:dyDescent="0.25">
      <c r="A927" s="13"/>
      <c r="D927" s="6"/>
    </row>
    <row r="928" spans="1:4" x14ac:dyDescent="0.25">
      <c r="A928" s="13"/>
      <c r="D928" s="6"/>
    </row>
    <row r="929" spans="1:4" x14ac:dyDescent="0.25">
      <c r="A929" s="13"/>
      <c r="D929" s="6"/>
    </row>
    <row r="930" spans="1:4" x14ac:dyDescent="0.25">
      <c r="A930" s="13"/>
      <c r="D930" s="6"/>
    </row>
    <row r="931" spans="1:4" x14ac:dyDescent="0.25">
      <c r="A931" s="13"/>
      <c r="D931" s="6"/>
    </row>
    <row r="932" spans="1:4" x14ac:dyDescent="0.25">
      <c r="A932" s="13"/>
      <c r="D932" s="6"/>
    </row>
    <row r="933" spans="1:4" x14ac:dyDescent="0.25">
      <c r="A933" s="12"/>
    </row>
    <row r="934" spans="1:4" x14ac:dyDescent="0.25">
      <c r="A934" s="12"/>
    </row>
    <row r="935" spans="1:4" x14ac:dyDescent="0.25">
      <c r="A935" s="12"/>
    </row>
    <row r="936" spans="1:4" x14ac:dyDescent="0.25">
      <c r="A936" s="12"/>
    </row>
    <row r="937" spans="1:4" x14ac:dyDescent="0.25">
      <c r="A937" s="12"/>
    </row>
    <row r="938" spans="1:4" x14ac:dyDescent="0.25">
      <c r="A938" s="12"/>
    </row>
    <row r="939" spans="1:4" x14ac:dyDescent="0.25">
      <c r="A939" s="12"/>
    </row>
    <row r="940" spans="1:4" x14ac:dyDescent="0.25">
      <c r="A940" s="12"/>
    </row>
    <row r="941" spans="1:4" x14ac:dyDescent="0.25">
      <c r="A941" s="12"/>
    </row>
    <row r="942" spans="1:4" x14ac:dyDescent="0.25">
      <c r="A942" s="12"/>
    </row>
    <row r="943" spans="1:4" x14ac:dyDescent="0.25">
      <c r="A943" s="12"/>
    </row>
    <row r="944" spans="1:4" x14ac:dyDescent="0.25">
      <c r="A944" s="12"/>
    </row>
    <row r="945" spans="1:1" x14ac:dyDescent="0.25">
      <c r="A945" s="12"/>
    </row>
    <row r="946" spans="1:1" x14ac:dyDescent="0.25">
      <c r="A946" s="12"/>
    </row>
    <row r="947" spans="1:1" x14ac:dyDescent="0.25">
      <c r="A947" s="12"/>
    </row>
    <row r="948" spans="1:1" x14ac:dyDescent="0.25">
      <c r="A948" s="12"/>
    </row>
    <row r="949" spans="1:1" x14ac:dyDescent="0.25">
      <c r="A949" s="12"/>
    </row>
    <row r="950" spans="1:1" x14ac:dyDescent="0.25">
      <c r="A950" s="12"/>
    </row>
    <row r="951" spans="1:1" x14ac:dyDescent="0.25">
      <c r="A951" s="12"/>
    </row>
    <row r="952" spans="1:1" x14ac:dyDescent="0.25">
      <c r="A952" s="12"/>
    </row>
    <row r="953" spans="1:1" x14ac:dyDescent="0.25">
      <c r="A953" s="12"/>
    </row>
    <row r="954" spans="1:1" x14ac:dyDescent="0.25">
      <c r="A954" s="12"/>
    </row>
    <row r="955" spans="1:1" x14ac:dyDescent="0.25">
      <c r="A955" s="12"/>
    </row>
    <row r="956" spans="1:1" x14ac:dyDescent="0.25">
      <c r="A956" s="12"/>
    </row>
    <row r="957" spans="1:1" x14ac:dyDescent="0.25">
      <c r="A957" s="12"/>
    </row>
    <row r="958" spans="1:1" x14ac:dyDescent="0.25">
      <c r="A958" s="12"/>
    </row>
    <row r="959" spans="1:1" x14ac:dyDescent="0.25">
      <c r="A959" s="12"/>
    </row>
    <row r="960" spans="1:1" x14ac:dyDescent="0.25">
      <c r="A960" s="12"/>
    </row>
    <row r="961" spans="1:1" x14ac:dyDescent="0.25">
      <c r="A961" s="12"/>
    </row>
    <row r="962" spans="1:1" x14ac:dyDescent="0.25">
      <c r="A962" s="12"/>
    </row>
    <row r="963" spans="1:1" x14ac:dyDescent="0.25">
      <c r="A963" s="12"/>
    </row>
    <row r="964" spans="1:1" x14ac:dyDescent="0.25">
      <c r="A964" s="12"/>
    </row>
    <row r="965" spans="1:1" x14ac:dyDescent="0.25">
      <c r="A965" s="12"/>
    </row>
    <row r="966" spans="1:1" x14ac:dyDescent="0.25">
      <c r="A966" s="12"/>
    </row>
    <row r="967" spans="1:1" x14ac:dyDescent="0.25">
      <c r="A967" s="12"/>
    </row>
    <row r="968" spans="1:1" x14ac:dyDescent="0.25">
      <c r="A968" s="12"/>
    </row>
    <row r="969" spans="1:1" x14ac:dyDescent="0.25">
      <c r="A969" s="12"/>
    </row>
    <row r="970" spans="1:1" x14ac:dyDescent="0.25">
      <c r="A970" s="12"/>
    </row>
    <row r="971" spans="1:1" x14ac:dyDescent="0.25">
      <c r="A971" s="12"/>
    </row>
    <row r="972" spans="1:1" x14ac:dyDescent="0.25">
      <c r="A972" s="12"/>
    </row>
    <row r="973" spans="1:1" x14ac:dyDescent="0.25">
      <c r="A973" s="12"/>
    </row>
    <row r="974" spans="1:1" x14ac:dyDescent="0.25">
      <c r="A974" s="12"/>
    </row>
    <row r="975" spans="1:1" x14ac:dyDescent="0.25">
      <c r="A975" s="12"/>
    </row>
    <row r="976" spans="1:1" x14ac:dyDescent="0.25">
      <c r="A976" s="12"/>
    </row>
    <row r="977" spans="1:1" x14ac:dyDescent="0.25">
      <c r="A977" s="12"/>
    </row>
    <row r="978" spans="1:1" x14ac:dyDescent="0.25">
      <c r="A978" s="12"/>
    </row>
    <row r="979" spans="1:1" x14ac:dyDescent="0.25">
      <c r="A979" s="12"/>
    </row>
    <row r="980" spans="1:1" x14ac:dyDescent="0.25">
      <c r="A980" s="12"/>
    </row>
    <row r="981" spans="1:1" x14ac:dyDescent="0.25">
      <c r="A981" s="12"/>
    </row>
    <row r="982" spans="1:1" x14ac:dyDescent="0.25">
      <c r="A982" s="12"/>
    </row>
    <row r="983" spans="1:1" x14ac:dyDescent="0.25">
      <c r="A983" s="12"/>
    </row>
    <row r="984" spans="1:1" x14ac:dyDescent="0.25">
      <c r="A984" s="12"/>
    </row>
    <row r="985" spans="1:1" x14ac:dyDescent="0.25">
      <c r="A985" s="12"/>
    </row>
    <row r="986" spans="1:1" x14ac:dyDescent="0.25">
      <c r="A986" s="12"/>
    </row>
    <row r="987" spans="1:1" x14ac:dyDescent="0.25">
      <c r="A987" s="12"/>
    </row>
    <row r="988" spans="1:1" x14ac:dyDescent="0.25">
      <c r="A988" s="12"/>
    </row>
    <row r="989" spans="1:1" x14ac:dyDescent="0.25">
      <c r="A989" s="12"/>
    </row>
    <row r="990" spans="1:1" x14ac:dyDescent="0.25">
      <c r="A990" s="12"/>
    </row>
    <row r="991" spans="1:1" x14ac:dyDescent="0.25">
      <c r="A991" s="12"/>
    </row>
    <row r="992" spans="1:1" x14ac:dyDescent="0.25">
      <c r="A992" s="12"/>
    </row>
    <row r="993" spans="1:1" x14ac:dyDescent="0.25">
      <c r="A993" s="12"/>
    </row>
    <row r="994" spans="1:1" x14ac:dyDescent="0.25">
      <c r="A994" s="12"/>
    </row>
    <row r="995" spans="1:1" x14ac:dyDescent="0.25">
      <c r="A995" s="12"/>
    </row>
    <row r="996" spans="1:1" x14ac:dyDescent="0.25">
      <c r="A996" s="12"/>
    </row>
    <row r="997" spans="1:1" x14ac:dyDescent="0.25">
      <c r="A997" s="12"/>
    </row>
    <row r="998" spans="1:1" x14ac:dyDescent="0.25">
      <c r="A998" s="12"/>
    </row>
    <row r="999" spans="1:1" x14ac:dyDescent="0.25">
      <c r="A999" s="12"/>
    </row>
    <row r="1000" spans="1:1" x14ac:dyDescent="0.25">
      <c r="A1000" s="12"/>
    </row>
    <row r="1001" spans="1:1" x14ac:dyDescent="0.25">
      <c r="A1001" s="12"/>
    </row>
    <row r="1002" spans="1:1" x14ac:dyDescent="0.25">
      <c r="A1002" s="12"/>
    </row>
    <row r="1003" spans="1:1" x14ac:dyDescent="0.25">
      <c r="A1003" s="12"/>
    </row>
    <row r="1004" spans="1:1" x14ac:dyDescent="0.25">
      <c r="A1004" s="12"/>
    </row>
    <row r="1005" spans="1:1" x14ac:dyDescent="0.25">
      <c r="A1005" s="12"/>
    </row>
    <row r="1006" spans="1:1" x14ac:dyDescent="0.25">
      <c r="A1006" s="12"/>
    </row>
    <row r="1007" spans="1:1" x14ac:dyDescent="0.25">
      <c r="A1007" s="12"/>
    </row>
    <row r="1008" spans="1:1" x14ac:dyDescent="0.25">
      <c r="A1008" s="12"/>
    </row>
    <row r="1009" spans="1:1" x14ac:dyDescent="0.25">
      <c r="A1009" s="12"/>
    </row>
    <row r="1010" spans="1:1" x14ac:dyDescent="0.25">
      <c r="A1010" s="12"/>
    </row>
    <row r="1011" spans="1:1" x14ac:dyDescent="0.25">
      <c r="A1011" s="12"/>
    </row>
    <row r="1012" spans="1:1" x14ac:dyDescent="0.25">
      <c r="A1012" s="12"/>
    </row>
    <row r="1013" spans="1:1" x14ac:dyDescent="0.25">
      <c r="A1013" s="12"/>
    </row>
    <row r="1014" spans="1:1" x14ac:dyDescent="0.25">
      <c r="A1014" s="12"/>
    </row>
    <row r="1015" spans="1:1" x14ac:dyDescent="0.25">
      <c r="A1015" s="12"/>
    </row>
    <row r="1016" spans="1:1" x14ac:dyDescent="0.25">
      <c r="A1016" s="12"/>
    </row>
    <row r="1017" spans="1:1" x14ac:dyDescent="0.25">
      <c r="A1017" s="12"/>
    </row>
    <row r="1018" spans="1:1" x14ac:dyDescent="0.25">
      <c r="A1018" s="12"/>
    </row>
    <row r="1019" spans="1:1" x14ac:dyDescent="0.25">
      <c r="A1019" s="12"/>
    </row>
    <row r="1020" spans="1:1" x14ac:dyDescent="0.25">
      <c r="A1020" s="12"/>
    </row>
    <row r="1021" spans="1:1" x14ac:dyDescent="0.25">
      <c r="A1021" s="12"/>
    </row>
    <row r="1022" spans="1:1" x14ac:dyDescent="0.25">
      <c r="A1022" s="12"/>
    </row>
    <row r="1023" spans="1:1" x14ac:dyDescent="0.25">
      <c r="A1023" s="12"/>
    </row>
    <row r="1024" spans="1:1" x14ac:dyDescent="0.25">
      <c r="A1024" s="12"/>
    </row>
    <row r="1025" spans="1:1" x14ac:dyDescent="0.25">
      <c r="A1025" s="12"/>
    </row>
    <row r="1026" spans="1:1" x14ac:dyDescent="0.25">
      <c r="A1026" s="12"/>
    </row>
    <row r="1027" spans="1:1" x14ac:dyDescent="0.25">
      <c r="A1027" s="12"/>
    </row>
    <row r="1028" spans="1:1" x14ac:dyDescent="0.25">
      <c r="A1028" s="12"/>
    </row>
    <row r="1029" spans="1:1" x14ac:dyDescent="0.25">
      <c r="A1029" s="12"/>
    </row>
    <row r="1030" spans="1:1" x14ac:dyDescent="0.25">
      <c r="A1030" s="12"/>
    </row>
    <row r="1031" spans="1:1" x14ac:dyDescent="0.25">
      <c r="A1031" s="12"/>
    </row>
    <row r="1032" spans="1:1" x14ac:dyDescent="0.25">
      <c r="A1032" s="12"/>
    </row>
    <row r="1033" spans="1:1" x14ac:dyDescent="0.25">
      <c r="A1033" s="12"/>
    </row>
    <row r="1034" spans="1:1" x14ac:dyDescent="0.25">
      <c r="A1034" s="12"/>
    </row>
    <row r="1035" spans="1:1" x14ac:dyDescent="0.25">
      <c r="A1035" s="12"/>
    </row>
    <row r="1036" spans="1:1" x14ac:dyDescent="0.25">
      <c r="A1036" s="12"/>
    </row>
    <row r="1037" spans="1:1" x14ac:dyDescent="0.25">
      <c r="A1037" s="12"/>
    </row>
    <row r="1038" spans="1:1" x14ac:dyDescent="0.25">
      <c r="A1038" s="12"/>
    </row>
    <row r="1039" spans="1:1" x14ac:dyDescent="0.25">
      <c r="A1039" s="12"/>
    </row>
    <row r="1040" spans="1:1" x14ac:dyDescent="0.25">
      <c r="A1040" s="12"/>
    </row>
    <row r="1041" spans="1:1" x14ac:dyDescent="0.25">
      <c r="A1041" s="12"/>
    </row>
    <row r="1042" spans="1:1" x14ac:dyDescent="0.25">
      <c r="A1042" s="12"/>
    </row>
    <row r="1043" spans="1:1" x14ac:dyDescent="0.25">
      <c r="A1043" s="12"/>
    </row>
    <row r="1044" spans="1:1" x14ac:dyDescent="0.25">
      <c r="A1044" s="12"/>
    </row>
    <row r="1045" spans="1:1" x14ac:dyDescent="0.25">
      <c r="A1045" s="12"/>
    </row>
    <row r="1046" spans="1:1" x14ac:dyDescent="0.25">
      <c r="A1046" s="12"/>
    </row>
    <row r="1047" spans="1:1" x14ac:dyDescent="0.25">
      <c r="A1047" s="12"/>
    </row>
    <row r="1048" spans="1:1" x14ac:dyDescent="0.25">
      <c r="A1048" s="12"/>
    </row>
    <row r="1049" spans="1:1" x14ac:dyDescent="0.25">
      <c r="A1049" s="12"/>
    </row>
    <row r="1050" spans="1:1" x14ac:dyDescent="0.25">
      <c r="A1050" s="12"/>
    </row>
    <row r="1051" spans="1:1" x14ac:dyDescent="0.25">
      <c r="A1051" s="12"/>
    </row>
    <row r="1052" spans="1:1" x14ac:dyDescent="0.25">
      <c r="A1052" s="12"/>
    </row>
    <row r="1053" spans="1:1" x14ac:dyDescent="0.25">
      <c r="A1053" s="12"/>
    </row>
    <row r="1054" spans="1:1" x14ac:dyDescent="0.25">
      <c r="A1054" s="12"/>
    </row>
    <row r="1055" spans="1:1" x14ac:dyDescent="0.25">
      <c r="A1055" s="12"/>
    </row>
    <row r="1056" spans="1:1" x14ac:dyDescent="0.25">
      <c r="A1056" s="12"/>
    </row>
    <row r="1057" spans="1:1" x14ac:dyDescent="0.25">
      <c r="A1057" s="12"/>
    </row>
    <row r="1058" spans="1:1" x14ac:dyDescent="0.25">
      <c r="A1058" s="12"/>
    </row>
    <row r="1059" spans="1:1" x14ac:dyDescent="0.25">
      <c r="A1059" s="12"/>
    </row>
    <row r="1060" spans="1:1" x14ac:dyDescent="0.25">
      <c r="A1060" s="12"/>
    </row>
    <row r="1061" spans="1:1" x14ac:dyDescent="0.25">
      <c r="A1061" s="12"/>
    </row>
    <row r="1062" spans="1:1" x14ac:dyDescent="0.25">
      <c r="A1062" s="12"/>
    </row>
    <row r="1063" spans="1:1" x14ac:dyDescent="0.25">
      <c r="A1063" s="12"/>
    </row>
    <row r="1064" spans="1:1" x14ac:dyDescent="0.25">
      <c r="A1064" s="12"/>
    </row>
    <row r="1065" spans="1:1" x14ac:dyDescent="0.25">
      <c r="A1065" s="12"/>
    </row>
    <row r="1066" spans="1:1" x14ac:dyDescent="0.25">
      <c r="A1066" s="12"/>
    </row>
    <row r="1067" spans="1:1" x14ac:dyDescent="0.25">
      <c r="A1067" s="12"/>
    </row>
    <row r="1068" spans="1:1" x14ac:dyDescent="0.25">
      <c r="A1068" s="12"/>
    </row>
    <row r="1069" spans="1:1" x14ac:dyDescent="0.25">
      <c r="A1069" s="12"/>
    </row>
    <row r="1070" spans="1:1" x14ac:dyDescent="0.25">
      <c r="A1070" s="12"/>
    </row>
    <row r="1071" spans="1:1" x14ac:dyDescent="0.25">
      <c r="A1071" s="12"/>
    </row>
    <row r="1072" spans="1:1" x14ac:dyDescent="0.25">
      <c r="A1072" s="12"/>
    </row>
    <row r="1073" spans="1:1" x14ac:dyDescent="0.25">
      <c r="A1073" s="12"/>
    </row>
    <row r="1074" spans="1:1" x14ac:dyDescent="0.25">
      <c r="A1074" s="12"/>
    </row>
    <row r="1075" spans="1:1" x14ac:dyDescent="0.25">
      <c r="A1075" s="12"/>
    </row>
    <row r="1076" spans="1:1" x14ac:dyDescent="0.25">
      <c r="A1076" s="12"/>
    </row>
    <row r="1077" spans="1:1" x14ac:dyDescent="0.25">
      <c r="A1077" s="12"/>
    </row>
    <row r="1078" spans="1:1" x14ac:dyDescent="0.25">
      <c r="A1078" s="12"/>
    </row>
    <row r="1079" spans="1:1" x14ac:dyDescent="0.25">
      <c r="A1079" s="12"/>
    </row>
    <row r="1080" spans="1:1" x14ac:dyDescent="0.25">
      <c r="A1080" s="12"/>
    </row>
    <row r="1081" spans="1:1" x14ac:dyDescent="0.25">
      <c r="A1081" s="12"/>
    </row>
    <row r="1082" spans="1:1" x14ac:dyDescent="0.25">
      <c r="A1082" s="12"/>
    </row>
    <row r="1083" spans="1:1" x14ac:dyDescent="0.25">
      <c r="A1083" s="12"/>
    </row>
    <row r="1084" spans="1:1" x14ac:dyDescent="0.25">
      <c r="A1084" s="12"/>
    </row>
    <row r="1085" spans="1:1" x14ac:dyDescent="0.25">
      <c r="A1085" s="12"/>
    </row>
    <row r="1086" spans="1:1" x14ac:dyDescent="0.25">
      <c r="A1086" s="12"/>
    </row>
    <row r="1087" spans="1:1" x14ac:dyDescent="0.25">
      <c r="A1087" s="12"/>
    </row>
    <row r="1088" spans="1:1" x14ac:dyDescent="0.25">
      <c r="A1088" s="12"/>
    </row>
    <row r="1089" spans="1:1" x14ac:dyDescent="0.25">
      <c r="A1089" s="12"/>
    </row>
    <row r="1090" spans="1:1" x14ac:dyDescent="0.25">
      <c r="A1090" s="12"/>
    </row>
    <row r="1091" spans="1:1" x14ac:dyDescent="0.25">
      <c r="A1091" s="12"/>
    </row>
    <row r="1092" spans="1:1" x14ac:dyDescent="0.25">
      <c r="A1092" s="12"/>
    </row>
    <row r="1093" spans="1:1" x14ac:dyDescent="0.25">
      <c r="A1093" s="12"/>
    </row>
    <row r="1094" spans="1:1" x14ac:dyDescent="0.25">
      <c r="A1094" s="12"/>
    </row>
    <row r="1095" spans="1:1" x14ac:dyDescent="0.25">
      <c r="A1095" s="12"/>
    </row>
    <row r="1096" spans="1:1" x14ac:dyDescent="0.25">
      <c r="A1096" s="12"/>
    </row>
    <row r="1097" spans="1:1" x14ac:dyDescent="0.25">
      <c r="A1097" s="12"/>
    </row>
    <row r="1098" spans="1:1" x14ac:dyDescent="0.25">
      <c r="A1098" s="12"/>
    </row>
    <row r="1099" spans="1:1" x14ac:dyDescent="0.25">
      <c r="A1099" s="12"/>
    </row>
    <row r="1100" spans="1:1" x14ac:dyDescent="0.25">
      <c r="A1100" s="12"/>
    </row>
    <row r="1101" spans="1:1" x14ac:dyDescent="0.25">
      <c r="A1101" s="12"/>
    </row>
    <row r="1102" spans="1:1" x14ac:dyDescent="0.25">
      <c r="A1102" s="12"/>
    </row>
    <row r="1103" spans="1:1" x14ac:dyDescent="0.25">
      <c r="A1103" s="12"/>
    </row>
    <row r="1104" spans="1:1" x14ac:dyDescent="0.25">
      <c r="A1104" s="12"/>
    </row>
    <row r="1105" spans="1:1" x14ac:dyDescent="0.25">
      <c r="A1105" s="12"/>
    </row>
    <row r="1106" spans="1:1" x14ac:dyDescent="0.25">
      <c r="A1106" s="12"/>
    </row>
    <row r="1107" spans="1:1" x14ac:dyDescent="0.25">
      <c r="A1107" s="12"/>
    </row>
    <row r="1108" spans="1:1" x14ac:dyDescent="0.25">
      <c r="A1108" s="12"/>
    </row>
    <row r="1109" spans="1:1" x14ac:dyDescent="0.25">
      <c r="A1109" s="12"/>
    </row>
    <row r="1110" spans="1:1" x14ac:dyDescent="0.25">
      <c r="A1110" s="12"/>
    </row>
    <row r="1111" spans="1:1" x14ac:dyDescent="0.25">
      <c r="A1111" s="12"/>
    </row>
    <row r="1112" spans="1:1" x14ac:dyDescent="0.25">
      <c r="A1112" s="12"/>
    </row>
    <row r="1113" spans="1:1" x14ac:dyDescent="0.25">
      <c r="A1113" s="12"/>
    </row>
    <row r="1114" spans="1:1" x14ac:dyDescent="0.25">
      <c r="A1114" s="12"/>
    </row>
    <row r="1115" spans="1:1" x14ac:dyDescent="0.25">
      <c r="A1115" s="12"/>
    </row>
    <row r="1116" spans="1:1" x14ac:dyDescent="0.25">
      <c r="A1116" s="12"/>
    </row>
    <row r="1117" spans="1:1" x14ac:dyDescent="0.25">
      <c r="A1117" s="12"/>
    </row>
    <row r="1118" spans="1:1" x14ac:dyDescent="0.25">
      <c r="A1118" s="12"/>
    </row>
    <row r="1119" spans="1:1" x14ac:dyDescent="0.25">
      <c r="A1119" s="12"/>
    </row>
    <row r="1120" spans="1:1" x14ac:dyDescent="0.25">
      <c r="A1120" s="12"/>
    </row>
    <row r="1121" spans="1:1" x14ac:dyDescent="0.25">
      <c r="A1121" s="12"/>
    </row>
    <row r="1122" spans="1:1" x14ac:dyDescent="0.25">
      <c r="A1122" s="12"/>
    </row>
    <row r="1123" spans="1:1" x14ac:dyDescent="0.25">
      <c r="A1123" s="12"/>
    </row>
    <row r="1124" spans="1:1" x14ac:dyDescent="0.25">
      <c r="A1124" s="12"/>
    </row>
    <row r="1125" spans="1:1" x14ac:dyDescent="0.25">
      <c r="A1125" s="12"/>
    </row>
    <row r="1126" spans="1:1" x14ac:dyDescent="0.25">
      <c r="A1126" s="12"/>
    </row>
    <row r="1127" spans="1:1" x14ac:dyDescent="0.25">
      <c r="A1127" s="12"/>
    </row>
    <row r="1128" spans="1:1" x14ac:dyDescent="0.25">
      <c r="A1128" s="12"/>
    </row>
    <row r="1129" spans="1:1" x14ac:dyDescent="0.25">
      <c r="A1129" s="12"/>
    </row>
    <row r="1130" spans="1:1" x14ac:dyDescent="0.25">
      <c r="A1130" s="12"/>
    </row>
    <row r="1131" spans="1:1" x14ac:dyDescent="0.25">
      <c r="A1131" s="12"/>
    </row>
    <row r="1132" spans="1:1" x14ac:dyDescent="0.25">
      <c r="A1132" s="12"/>
    </row>
    <row r="1133" spans="1:1" x14ac:dyDescent="0.25">
      <c r="A1133" s="12"/>
    </row>
    <row r="1134" spans="1:1" x14ac:dyDescent="0.25">
      <c r="A1134" s="12"/>
    </row>
    <row r="1135" spans="1:1" x14ac:dyDescent="0.25">
      <c r="A1135" s="12"/>
    </row>
    <row r="1136" spans="1:1" x14ac:dyDescent="0.25">
      <c r="A1136" s="12"/>
    </row>
    <row r="1137" spans="1:1" x14ac:dyDescent="0.25">
      <c r="A1137" s="12"/>
    </row>
    <row r="1138" spans="1:1" x14ac:dyDescent="0.25">
      <c r="A1138" s="12"/>
    </row>
    <row r="1139" spans="1:1" x14ac:dyDescent="0.25">
      <c r="A1139" s="12"/>
    </row>
    <row r="1140" spans="1:1" x14ac:dyDescent="0.25">
      <c r="A1140" s="12"/>
    </row>
    <row r="1141" spans="1:1" x14ac:dyDescent="0.25">
      <c r="A1141" s="12"/>
    </row>
    <row r="1142" spans="1:1" x14ac:dyDescent="0.25">
      <c r="A1142" s="12"/>
    </row>
    <row r="1143" spans="1:1" x14ac:dyDescent="0.25">
      <c r="A1143" s="12"/>
    </row>
    <row r="1144" spans="1:1" x14ac:dyDescent="0.25">
      <c r="A1144" s="12"/>
    </row>
    <row r="1145" spans="1:1" x14ac:dyDescent="0.25">
      <c r="A1145" s="12"/>
    </row>
    <row r="1146" spans="1:1" x14ac:dyDescent="0.25">
      <c r="A1146" s="12"/>
    </row>
    <row r="1147" spans="1:1" x14ac:dyDescent="0.25">
      <c r="A1147" s="12"/>
    </row>
    <row r="1148" spans="1:1" x14ac:dyDescent="0.25">
      <c r="A1148" s="12"/>
    </row>
    <row r="1149" spans="1:1" x14ac:dyDescent="0.25">
      <c r="A1149" s="12"/>
    </row>
    <row r="1150" spans="1:1" x14ac:dyDescent="0.25">
      <c r="A1150" s="12"/>
    </row>
    <row r="1151" spans="1:1" x14ac:dyDescent="0.25">
      <c r="A1151" s="12"/>
    </row>
    <row r="1152" spans="1:1" x14ac:dyDescent="0.25">
      <c r="A1152" s="12"/>
    </row>
    <row r="1153" spans="1:1" x14ac:dyDescent="0.25">
      <c r="A1153" s="12"/>
    </row>
    <row r="1154" spans="1:1" x14ac:dyDescent="0.25">
      <c r="A1154" s="12"/>
    </row>
    <row r="1155" spans="1:1" x14ac:dyDescent="0.25">
      <c r="A1155" s="12"/>
    </row>
    <row r="1156" spans="1:1" x14ac:dyDescent="0.25">
      <c r="A1156" s="12"/>
    </row>
    <row r="1157" spans="1:1" x14ac:dyDescent="0.25">
      <c r="A1157" s="12"/>
    </row>
    <row r="1158" spans="1:1" x14ac:dyDescent="0.25">
      <c r="A1158" s="12"/>
    </row>
    <row r="1159" spans="1:1" x14ac:dyDescent="0.25">
      <c r="A1159" s="12"/>
    </row>
    <row r="1160" spans="1:1" x14ac:dyDescent="0.25">
      <c r="A1160" s="12"/>
    </row>
    <row r="1161" spans="1:1" x14ac:dyDescent="0.25">
      <c r="A1161" s="12"/>
    </row>
    <row r="1162" spans="1:1" x14ac:dyDescent="0.25">
      <c r="A1162" s="12"/>
    </row>
    <row r="1163" spans="1:1" x14ac:dyDescent="0.25">
      <c r="A1163" s="12"/>
    </row>
    <row r="1164" spans="1:1" x14ac:dyDescent="0.25">
      <c r="A1164" s="12"/>
    </row>
    <row r="1165" spans="1:1" x14ac:dyDescent="0.25">
      <c r="A1165" s="12"/>
    </row>
    <row r="1166" spans="1:1" x14ac:dyDescent="0.25">
      <c r="A1166" s="12"/>
    </row>
    <row r="1167" spans="1:1" x14ac:dyDescent="0.25">
      <c r="A1167" s="12"/>
    </row>
    <row r="1168" spans="1:1" x14ac:dyDescent="0.25">
      <c r="A1168" s="12"/>
    </row>
    <row r="1169" spans="1:1" x14ac:dyDescent="0.25">
      <c r="A1169" s="12"/>
    </row>
    <row r="1170" spans="1:1" x14ac:dyDescent="0.25">
      <c r="A1170" s="12"/>
    </row>
    <row r="1171" spans="1:1" x14ac:dyDescent="0.25">
      <c r="A1171" s="12"/>
    </row>
    <row r="1172" spans="1:1" x14ac:dyDescent="0.25">
      <c r="A1172" s="12"/>
    </row>
    <row r="1173" spans="1:1" x14ac:dyDescent="0.25">
      <c r="A1173" s="12"/>
    </row>
    <row r="1174" spans="1:1" x14ac:dyDescent="0.25">
      <c r="A1174" s="12"/>
    </row>
    <row r="1175" spans="1:1" x14ac:dyDescent="0.25">
      <c r="A1175" s="12"/>
    </row>
    <row r="1176" spans="1:1" x14ac:dyDescent="0.25">
      <c r="A1176" s="12"/>
    </row>
    <row r="1177" spans="1:1" x14ac:dyDescent="0.25">
      <c r="A1177" s="12"/>
    </row>
    <row r="1178" spans="1:1" x14ac:dyDescent="0.25">
      <c r="A1178" s="12"/>
    </row>
    <row r="1179" spans="1:1" x14ac:dyDescent="0.25">
      <c r="A1179" s="12"/>
    </row>
    <row r="1180" spans="1:1" x14ac:dyDescent="0.25">
      <c r="A1180" s="12"/>
    </row>
    <row r="1181" spans="1:1" x14ac:dyDescent="0.25">
      <c r="A1181" s="12"/>
    </row>
    <row r="1182" spans="1:1" x14ac:dyDescent="0.25">
      <c r="A1182" s="12"/>
    </row>
    <row r="1183" spans="1:1" x14ac:dyDescent="0.25">
      <c r="A1183" s="12"/>
    </row>
    <row r="1184" spans="1:1" x14ac:dyDescent="0.25">
      <c r="A1184" s="12"/>
    </row>
    <row r="1185" spans="1:1" x14ac:dyDescent="0.25">
      <c r="A1185" s="12"/>
    </row>
    <row r="1186" spans="1:1" x14ac:dyDescent="0.25">
      <c r="A1186" s="12"/>
    </row>
    <row r="1187" spans="1:1" x14ac:dyDescent="0.25">
      <c r="A1187" s="12"/>
    </row>
    <row r="1188" spans="1:1" x14ac:dyDescent="0.25">
      <c r="A1188" s="12"/>
    </row>
    <row r="1189" spans="1:1" x14ac:dyDescent="0.25">
      <c r="A1189" s="12"/>
    </row>
    <row r="1190" spans="1:1" x14ac:dyDescent="0.25">
      <c r="A1190" s="12"/>
    </row>
    <row r="1191" spans="1:1" x14ac:dyDescent="0.25">
      <c r="A1191" s="12"/>
    </row>
    <row r="1192" spans="1:1" x14ac:dyDescent="0.25">
      <c r="A1192" s="12"/>
    </row>
    <row r="1193" spans="1:1" x14ac:dyDescent="0.25">
      <c r="A1193" s="12"/>
    </row>
    <row r="1194" spans="1:1" x14ac:dyDescent="0.25">
      <c r="A1194" s="12"/>
    </row>
    <row r="1195" spans="1:1" x14ac:dyDescent="0.25">
      <c r="A1195" s="12"/>
    </row>
    <row r="1196" spans="1:1" x14ac:dyDescent="0.25">
      <c r="A1196" s="12"/>
    </row>
    <row r="1197" spans="1:1" x14ac:dyDescent="0.25">
      <c r="A1197" s="12"/>
    </row>
    <row r="1198" spans="1:1" x14ac:dyDescent="0.25">
      <c r="A1198" s="12"/>
    </row>
    <row r="1199" spans="1:1" x14ac:dyDescent="0.25">
      <c r="A1199" s="12"/>
    </row>
    <row r="1200" spans="1:1" x14ac:dyDescent="0.25">
      <c r="A1200" s="12"/>
    </row>
    <row r="1201" spans="1:1" x14ac:dyDescent="0.25">
      <c r="A1201" s="12"/>
    </row>
    <row r="1202" spans="1:1" x14ac:dyDescent="0.25">
      <c r="A1202" s="12"/>
    </row>
    <row r="1203" spans="1:1" x14ac:dyDescent="0.25">
      <c r="A1203" s="12"/>
    </row>
    <row r="1204" spans="1:1" x14ac:dyDescent="0.25">
      <c r="A1204" s="12"/>
    </row>
    <row r="1205" spans="1:1" x14ac:dyDescent="0.25">
      <c r="A1205" s="12"/>
    </row>
    <row r="1206" spans="1:1" x14ac:dyDescent="0.25">
      <c r="A1206" s="12"/>
    </row>
    <row r="1207" spans="1:1" x14ac:dyDescent="0.25">
      <c r="A1207" s="12"/>
    </row>
    <row r="1208" spans="1:1" x14ac:dyDescent="0.25">
      <c r="A1208" s="12"/>
    </row>
    <row r="1209" spans="1:1" x14ac:dyDescent="0.25">
      <c r="A1209" s="12"/>
    </row>
    <row r="1210" spans="1:1" x14ac:dyDescent="0.25">
      <c r="A1210" s="12"/>
    </row>
    <row r="1211" spans="1:1" x14ac:dyDescent="0.25">
      <c r="A1211" s="12"/>
    </row>
    <row r="1212" spans="1:1" x14ac:dyDescent="0.25">
      <c r="A1212" s="12"/>
    </row>
    <row r="1213" spans="1:1" x14ac:dyDescent="0.25">
      <c r="A1213" s="12"/>
    </row>
    <row r="1214" spans="1:1" x14ac:dyDescent="0.25">
      <c r="A1214" s="12"/>
    </row>
    <row r="1215" spans="1:1" x14ac:dyDescent="0.25">
      <c r="A1215" s="12"/>
    </row>
    <row r="1216" spans="1:1" x14ac:dyDescent="0.25">
      <c r="A1216" s="12"/>
    </row>
    <row r="1217" spans="1:1" x14ac:dyDescent="0.25">
      <c r="A1217" s="12"/>
    </row>
    <row r="1218" spans="1:1" x14ac:dyDescent="0.25">
      <c r="A1218" s="12"/>
    </row>
    <row r="1219" spans="1:1" x14ac:dyDescent="0.25">
      <c r="A1219" s="12"/>
    </row>
    <row r="1220" spans="1:1" x14ac:dyDescent="0.25">
      <c r="A1220" s="12"/>
    </row>
    <row r="1221" spans="1:1" x14ac:dyDescent="0.25">
      <c r="A1221" s="12"/>
    </row>
    <row r="1222" spans="1:1" x14ac:dyDescent="0.25">
      <c r="A1222" s="12"/>
    </row>
    <row r="1223" spans="1:1" x14ac:dyDescent="0.25">
      <c r="A1223" s="12"/>
    </row>
    <row r="1224" spans="1:1" x14ac:dyDescent="0.25">
      <c r="A1224" s="12"/>
    </row>
    <row r="1225" spans="1:1" x14ac:dyDescent="0.25">
      <c r="A1225" s="12"/>
    </row>
    <row r="1226" spans="1:1" x14ac:dyDescent="0.25">
      <c r="A1226" s="12"/>
    </row>
    <row r="1227" spans="1:1" x14ac:dyDescent="0.25">
      <c r="A1227" s="12"/>
    </row>
    <row r="1228" spans="1:1" x14ac:dyDescent="0.25">
      <c r="A1228" s="12"/>
    </row>
    <row r="1229" spans="1:1" x14ac:dyDescent="0.25">
      <c r="A1229" s="12"/>
    </row>
    <row r="1230" spans="1:1" x14ac:dyDescent="0.25">
      <c r="A1230" s="12"/>
    </row>
    <row r="1231" spans="1:1" x14ac:dyDescent="0.25">
      <c r="A1231" s="12"/>
    </row>
    <row r="1232" spans="1:1" x14ac:dyDescent="0.25">
      <c r="A1232" s="12"/>
    </row>
    <row r="1233" spans="1:1" x14ac:dyDescent="0.25">
      <c r="A1233" s="12"/>
    </row>
    <row r="1234" spans="1:1" x14ac:dyDescent="0.25">
      <c r="A1234" s="12"/>
    </row>
    <row r="1235" spans="1:1" x14ac:dyDescent="0.25">
      <c r="A1235" s="12"/>
    </row>
    <row r="1236" spans="1:1" x14ac:dyDescent="0.25">
      <c r="A1236" s="12"/>
    </row>
    <row r="1237" spans="1:1" x14ac:dyDescent="0.25">
      <c r="A1237" s="12"/>
    </row>
    <row r="1238" spans="1:1" x14ac:dyDescent="0.25">
      <c r="A1238" s="12"/>
    </row>
    <row r="1239" spans="1:1" x14ac:dyDescent="0.25">
      <c r="A1239" s="12"/>
    </row>
    <row r="1240" spans="1:1" x14ac:dyDescent="0.25">
      <c r="A1240" s="12"/>
    </row>
    <row r="1241" spans="1:1" x14ac:dyDescent="0.25">
      <c r="A1241" s="12"/>
    </row>
    <row r="1242" spans="1:1" x14ac:dyDescent="0.25">
      <c r="A1242" s="12"/>
    </row>
    <row r="1243" spans="1:1" x14ac:dyDescent="0.25">
      <c r="A1243" s="12"/>
    </row>
    <row r="1244" spans="1:1" x14ac:dyDescent="0.25">
      <c r="A1244" s="12"/>
    </row>
    <row r="1245" spans="1:1" x14ac:dyDescent="0.25">
      <c r="A1245" s="12"/>
    </row>
    <row r="1246" spans="1:1" x14ac:dyDescent="0.25">
      <c r="A1246" s="12"/>
    </row>
    <row r="1247" spans="1:1" x14ac:dyDescent="0.25">
      <c r="A1247" s="12"/>
    </row>
    <row r="1248" spans="1:1" x14ac:dyDescent="0.25">
      <c r="A1248" s="12"/>
    </row>
    <row r="1249" spans="1:1" x14ac:dyDescent="0.25">
      <c r="A1249" s="12"/>
    </row>
    <row r="1250" spans="1:1" x14ac:dyDescent="0.25">
      <c r="A1250" s="12"/>
    </row>
    <row r="1251" spans="1:1" x14ac:dyDescent="0.25">
      <c r="A1251" s="12"/>
    </row>
    <row r="1252" spans="1:1" x14ac:dyDescent="0.25">
      <c r="A1252" s="12"/>
    </row>
    <row r="1253" spans="1:1" x14ac:dyDescent="0.25">
      <c r="A1253" s="12"/>
    </row>
    <row r="1254" spans="1:1" x14ac:dyDescent="0.25">
      <c r="A1254" s="12"/>
    </row>
    <row r="1255" spans="1:1" x14ac:dyDescent="0.25">
      <c r="A1255" s="12"/>
    </row>
    <row r="1256" spans="1:1" x14ac:dyDescent="0.25">
      <c r="A1256" s="12"/>
    </row>
    <row r="1257" spans="1:1" x14ac:dyDescent="0.25">
      <c r="A1257" s="12"/>
    </row>
    <row r="1258" spans="1:1" x14ac:dyDescent="0.25">
      <c r="A1258" s="12"/>
    </row>
    <row r="1259" spans="1:1" x14ac:dyDescent="0.25">
      <c r="A1259" s="12"/>
    </row>
    <row r="1260" spans="1:1" x14ac:dyDescent="0.25">
      <c r="A1260" s="12"/>
    </row>
    <row r="1261" spans="1:1" x14ac:dyDescent="0.25">
      <c r="A1261" s="12"/>
    </row>
    <row r="1262" spans="1:1" x14ac:dyDescent="0.25">
      <c r="A1262" s="12"/>
    </row>
    <row r="1263" spans="1:1" x14ac:dyDescent="0.25">
      <c r="A1263" s="12"/>
    </row>
    <row r="1264" spans="1:1" x14ac:dyDescent="0.25">
      <c r="A1264" s="12"/>
    </row>
    <row r="1265" spans="1:1" x14ac:dyDescent="0.25">
      <c r="A1265" s="12"/>
    </row>
    <row r="1266" spans="1:1" x14ac:dyDescent="0.25">
      <c r="A1266" s="12"/>
    </row>
    <row r="1267" spans="1:1" x14ac:dyDescent="0.25">
      <c r="A1267" s="12"/>
    </row>
    <row r="1268" spans="1:1" x14ac:dyDescent="0.25">
      <c r="A1268" s="12"/>
    </row>
    <row r="1269" spans="1:1" x14ac:dyDescent="0.25">
      <c r="A1269" s="12"/>
    </row>
    <row r="1270" spans="1:1" x14ac:dyDescent="0.25">
      <c r="A1270" s="12"/>
    </row>
    <row r="1271" spans="1:1" x14ac:dyDescent="0.25">
      <c r="A1271" s="12"/>
    </row>
    <row r="1272" spans="1:1" x14ac:dyDescent="0.25">
      <c r="A1272" s="12"/>
    </row>
    <row r="1273" spans="1:1" x14ac:dyDescent="0.25">
      <c r="A1273" s="12"/>
    </row>
    <row r="1274" spans="1:1" x14ac:dyDescent="0.25">
      <c r="A1274" s="12"/>
    </row>
    <row r="1275" spans="1:1" x14ac:dyDescent="0.25">
      <c r="A1275" s="12"/>
    </row>
    <row r="1276" spans="1:1" x14ac:dyDescent="0.25">
      <c r="A1276" s="12"/>
    </row>
    <row r="1277" spans="1:1" x14ac:dyDescent="0.25">
      <c r="A1277" s="12"/>
    </row>
    <row r="1278" spans="1:1" x14ac:dyDescent="0.25">
      <c r="A1278" s="12"/>
    </row>
    <row r="1279" spans="1:1" x14ac:dyDescent="0.25">
      <c r="A1279" s="12"/>
    </row>
    <row r="1280" spans="1:1" x14ac:dyDescent="0.25">
      <c r="A1280" s="12"/>
    </row>
    <row r="1281" spans="1:1" x14ac:dyDescent="0.25">
      <c r="A1281" s="12"/>
    </row>
    <row r="1282" spans="1:1" x14ac:dyDescent="0.25">
      <c r="A1282" s="12"/>
    </row>
    <row r="1283" spans="1:1" x14ac:dyDescent="0.25">
      <c r="A1283" s="12"/>
    </row>
    <row r="1284" spans="1:1" x14ac:dyDescent="0.25">
      <c r="A1284" s="12"/>
    </row>
    <row r="1285" spans="1:1" x14ac:dyDescent="0.25">
      <c r="A1285" s="12"/>
    </row>
    <row r="1286" spans="1:1" x14ac:dyDescent="0.25">
      <c r="A1286" s="12"/>
    </row>
    <row r="1287" spans="1:1" x14ac:dyDescent="0.25">
      <c r="A1287" s="12"/>
    </row>
    <row r="1288" spans="1:1" x14ac:dyDescent="0.25">
      <c r="A1288" s="12"/>
    </row>
    <row r="1289" spans="1:1" x14ac:dyDescent="0.25">
      <c r="A1289" s="12"/>
    </row>
    <row r="1290" spans="1:1" x14ac:dyDescent="0.25">
      <c r="A1290" s="12"/>
    </row>
    <row r="1291" spans="1:1" x14ac:dyDescent="0.25">
      <c r="A1291" s="12"/>
    </row>
    <row r="1292" spans="1:1" x14ac:dyDescent="0.25">
      <c r="A1292" s="12"/>
    </row>
    <row r="1293" spans="1:1" x14ac:dyDescent="0.25">
      <c r="A1293" s="12"/>
    </row>
    <row r="1294" spans="1:1" x14ac:dyDescent="0.25">
      <c r="A1294" s="12"/>
    </row>
    <row r="1295" spans="1:1" x14ac:dyDescent="0.25">
      <c r="A1295" s="12"/>
    </row>
    <row r="1296" spans="1:1" x14ac:dyDescent="0.25">
      <c r="A1296" s="12"/>
    </row>
    <row r="1297" spans="1:1" x14ac:dyDescent="0.25">
      <c r="A1297" s="12"/>
    </row>
    <row r="1298" spans="1:1" x14ac:dyDescent="0.25">
      <c r="A1298" s="12"/>
    </row>
    <row r="1299" spans="1:1" x14ac:dyDescent="0.25">
      <c r="A1299" s="12"/>
    </row>
    <row r="1300" spans="1:1" x14ac:dyDescent="0.25">
      <c r="A1300" s="12"/>
    </row>
    <row r="1301" spans="1:1" x14ac:dyDescent="0.25">
      <c r="A1301" s="12"/>
    </row>
    <row r="1302" spans="1:1" x14ac:dyDescent="0.25">
      <c r="A1302" s="12"/>
    </row>
    <row r="1303" spans="1:1" x14ac:dyDescent="0.25">
      <c r="A1303" s="12"/>
    </row>
    <row r="1304" spans="1:1" x14ac:dyDescent="0.25">
      <c r="A1304" s="12"/>
    </row>
    <row r="1305" spans="1:1" x14ac:dyDescent="0.25">
      <c r="A1305" s="12"/>
    </row>
    <row r="1306" spans="1:1" x14ac:dyDescent="0.25">
      <c r="A1306" s="12"/>
    </row>
    <row r="1307" spans="1:1" x14ac:dyDescent="0.25">
      <c r="A1307" s="12"/>
    </row>
    <row r="1308" spans="1:1" x14ac:dyDescent="0.25">
      <c r="A1308" s="12"/>
    </row>
    <row r="1309" spans="1:1" x14ac:dyDescent="0.25">
      <c r="A1309" s="12"/>
    </row>
    <row r="1310" spans="1:1" x14ac:dyDescent="0.25">
      <c r="A1310" s="12"/>
    </row>
    <row r="1311" spans="1:1" x14ac:dyDescent="0.25">
      <c r="A1311" s="12"/>
    </row>
    <row r="1312" spans="1:1" x14ac:dyDescent="0.25">
      <c r="A1312" s="12"/>
    </row>
    <row r="1313" spans="1:1" x14ac:dyDescent="0.25">
      <c r="A1313" s="12"/>
    </row>
    <row r="1314" spans="1:1" x14ac:dyDescent="0.25">
      <c r="A1314" s="12"/>
    </row>
    <row r="1315" spans="1:1" x14ac:dyDescent="0.25">
      <c r="A1315" s="12"/>
    </row>
    <row r="1316" spans="1:1" x14ac:dyDescent="0.25">
      <c r="A1316" s="12"/>
    </row>
    <row r="1317" spans="1:1" x14ac:dyDescent="0.25">
      <c r="A1317" s="12"/>
    </row>
    <row r="1318" spans="1:1" x14ac:dyDescent="0.25">
      <c r="A1318" s="12"/>
    </row>
    <row r="1319" spans="1:1" x14ac:dyDescent="0.25">
      <c r="A1319" s="12"/>
    </row>
    <row r="1320" spans="1:1" x14ac:dyDescent="0.25">
      <c r="A1320" s="12"/>
    </row>
    <row r="1321" spans="1:1" x14ac:dyDescent="0.25">
      <c r="A1321" s="12"/>
    </row>
    <row r="1322" spans="1:1" x14ac:dyDescent="0.25">
      <c r="A1322" s="12"/>
    </row>
    <row r="1323" spans="1:1" x14ac:dyDescent="0.25">
      <c r="A1323" s="12"/>
    </row>
    <row r="1324" spans="1:1" x14ac:dyDescent="0.25">
      <c r="A1324" s="12"/>
    </row>
    <row r="1325" spans="1:1" x14ac:dyDescent="0.25">
      <c r="A1325" s="12"/>
    </row>
    <row r="1326" spans="1:1" x14ac:dyDescent="0.25">
      <c r="A1326" s="12"/>
    </row>
    <row r="1327" spans="1:1" x14ac:dyDescent="0.25">
      <c r="A1327" s="12"/>
    </row>
    <row r="1328" spans="1:1" x14ac:dyDescent="0.25">
      <c r="A1328" s="12"/>
    </row>
    <row r="1329" spans="1:1" x14ac:dyDescent="0.25">
      <c r="A1329" s="12"/>
    </row>
    <row r="1330" spans="1:1" x14ac:dyDescent="0.25">
      <c r="A1330" s="12"/>
    </row>
    <row r="1331" spans="1:1" x14ac:dyDescent="0.25">
      <c r="A1331" s="12"/>
    </row>
    <row r="1332" spans="1:1" x14ac:dyDescent="0.25">
      <c r="A1332" s="12"/>
    </row>
    <row r="1333" spans="1:1" x14ac:dyDescent="0.25">
      <c r="A1333" s="12"/>
    </row>
    <row r="1334" spans="1:1" x14ac:dyDescent="0.25">
      <c r="A1334" s="12"/>
    </row>
    <row r="1335" spans="1:1" x14ac:dyDescent="0.25">
      <c r="A1335" s="12"/>
    </row>
    <row r="1336" spans="1:1" x14ac:dyDescent="0.25">
      <c r="A1336" s="12"/>
    </row>
    <row r="1337" spans="1:1" x14ac:dyDescent="0.25">
      <c r="A1337" s="12"/>
    </row>
    <row r="1338" spans="1:1" x14ac:dyDescent="0.25">
      <c r="A1338" s="12"/>
    </row>
    <row r="1339" spans="1:1" x14ac:dyDescent="0.25">
      <c r="A1339" s="12"/>
    </row>
    <row r="1340" spans="1:1" x14ac:dyDescent="0.25">
      <c r="A1340" s="12"/>
    </row>
    <row r="1341" spans="1:1" x14ac:dyDescent="0.25">
      <c r="A1341" s="12"/>
    </row>
    <row r="1342" spans="1:1" x14ac:dyDescent="0.25">
      <c r="A1342" s="12"/>
    </row>
    <row r="1343" spans="1:1" x14ac:dyDescent="0.25">
      <c r="A1343" s="12"/>
    </row>
    <row r="1344" spans="1:1" x14ac:dyDescent="0.25">
      <c r="A1344" s="12"/>
    </row>
    <row r="1345" spans="1:1" x14ac:dyDescent="0.25">
      <c r="A1345" s="12"/>
    </row>
    <row r="1346" spans="1:1" x14ac:dyDescent="0.25">
      <c r="A1346" s="12"/>
    </row>
    <row r="1347" spans="1:1" x14ac:dyDescent="0.25">
      <c r="A1347" s="12"/>
    </row>
    <row r="1348" spans="1:1" x14ac:dyDescent="0.25">
      <c r="A1348" s="12"/>
    </row>
    <row r="1349" spans="1:1" x14ac:dyDescent="0.25">
      <c r="A1349" s="12"/>
    </row>
    <row r="1350" spans="1:1" x14ac:dyDescent="0.25">
      <c r="A1350" s="12"/>
    </row>
    <row r="1351" spans="1:1" x14ac:dyDescent="0.25">
      <c r="A1351" s="12"/>
    </row>
    <row r="1352" spans="1:1" x14ac:dyDescent="0.25">
      <c r="A1352" s="12"/>
    </row>
    <row r="1353" spans="1:1" x14ac:dyDescent="0.25">
      <c r="A1353" s="12"/>
    </row>
    <row r="1354" spans="1:1" x14ac:dyDescent="0.25">
      <c r="A1354" s="12"/>
    </row>
    <row r="1355" spans="1:1" x14ac:dyDescent="0.25">
      <c r="A1355" s="12"/>
    </row>
    <row r="1356" spans="1:1" x14ac:dyDescent="0.25">
      <c r="A1356" s="12"/>
    </row>
    <row r="1357" spans="1:1" x14ac:dyDescent="0.25">
      <c r="A1357" s="12"/>
    </row>
    <row r="1358" spans="1:1" x14ac:dyDescent="0.25">
      <c r="A1358" s="12"/>
    </row>
    <row r="1359" spans="1:1" x14ac:dyDescent="0.25">
      <c r="A1359" s="12"/>
    </row>
    <row r="1360" spans="1:1" x14ac:dyDescent="0.25">
      <c r="A1360" s="12"/>
    </row>
    <row r="1361" spans="1:1" x14ac:dyDescent="0.25">
      <c r="A1361" s="12"/>
    </row>
    <row r="1362" spans="1:1" x14ac:dyDescent="0.25">
      <c r="A1362" s="12"/>
    </row>
    <row r="1363" spans="1:1" x14ac:dyDescent="0.25">
      <c r="A1363" s="12"/>
    </row>
    <row r="1364" spans="1:1" x14ac:dyDescent="0.25">
      <c r="A1364" s="12"/>
    </row>
    <row r="1365" spans="1:1" x14ac:dyDescent="0.25">
      <c r="A1365" s="12"/>
    </row>
    <row r="1366" spans="1:1" x14ac:dyDescent="0.25">
      <c r="A1366" s="12"/>
    </row>
    <row r="1367" spans="1:1" x14ac:dyDescent="0.25">
      <c r="A1367" s="12"/>
    </row>
    <row r="1368" spans="1:1" x14ac:dyDescent="0.25">
      <c r="A1368" s="12"/>
    </row>
    <row r="1369" spans="1:1" x14ac:dyDescent="0.25">
      <c r="A1369" s="12"/>
    </row>
    <row r="1370" spans="1:1" x14ac:dyDescent="0.25">
      <c r="A1370" s="12"/>
    </row>
    <row r="1371" spans="1:1" x14ac:dyDescent="0.25">
      <c r="A1371" s="12"/>
    </row>
    <row r="1372" spans="1:1" x14ac:dyDescent="0.25">
      <c r="A1372" s="12"/>
    </row>
    <row r="1373" spans="1:1" x14ac:dyDescent="0.25">
      <c r="A1373" s="12"/>
    </row>
    <row r="1374" spans="1:1" x14ac:dyDescent="0.25">
      <c r="A1374" s="12"/>
    </row>
    <row r="1375" spans="1:1" x14ac:dyDescent="0.25">
      <c r="A1375" s="12"/>
    </row>
    <row r="1376" spans="1:1" x14ac:dyDescent="0.25">
      <c r="A1376" s="12"/>
    </row>
    <row r="1377" spans="1:1" x14ac:dyDescent="0.25">
      <c r="A1377" s="12"/>
    </row>
    <row r="1378" spans="1:1" x14ac:dyDescent="0.25">
      <c r="A1378" s="12"/>
    </row>
    <row r="1379" spans="1:1" x14ac:dyDescent="0.25">
      <c r="A1379" s="12"/>
    </row>
    <row r="1380" spans="1:1" x14ac:dyDescent="0.25">
      <c r="A1380" s="12"/>
    </row>
    <row r="1381" spans="1:1" x14ac:dyDescent="0.25">
      <c r="A1381" s="12"/>
    </row>
    <row r="1382" spans="1:1" x14ac:dyDescent="0.25">
      <c r="A1382" s="12"/>
    </row>
    <row r="1383" spans="1:1" x14ac:dyDescent="0.25">
      <c r="A1383" s="12"/>
    </row>
    <row r="1384" spans="1:1" x14ac:dyDescent="0.25">
      <c r="A1384" s="12"/>
    </row>
    <row r="1385" spans="1:1" x14ac:dyDescent="0.25">
      <c r="A1385" s="12"/>
    </row>
    <row r="1386" spans="1:1" x14ac:dyDescent="0.25">
      <c r="A1386" s="12"/>
    </row>
    <row r="1387" spans="1:1" x14ac:dyDescent="0.25">
      <c r="A1387" s="12"/>
    </row>
    <row r="1388" spans="1:1" x14ac:dyDescent="0.25">
      <c r="A1388" s="12"/>
    </row>
    <row r="1389" spans="1:1" x14ac:dyDescent="0.25">
      <c r="A1389" s="12"/>
    </row>
    <row r="1390" spans="1:1" x14ac:dyDescent="0.25">
      <c r="A1390" s="12"/>
    </row>
    <row r="1391" spans="1:1" x14ac:dyDescent="0.25">
      <c r="A1391" s="12"/>
    </row>
    <row r="1392" spans="1:1" x14ac:dyDescent="0.25">
      <c r="A1392" s="12"/>
    </row>
    <row r="1393" spans="1:1" x14ac:dyDescent="0.25">
      <c r="A1393" s="12"/>
    </row>
    <row r="1394" spans="1:1" x14ac:dyDescent="0.25">
      <c r="A1394" s="12"/>
    </row>
    <row r="1395" spans="1:1" x14ac:dyDescent="0.25">
      <c r="A1395" s="12"/>
    </row>
    <row r="1396" spans="1:1" x14ac:dyDescent="0.25">
      <c r="A1396" s="12"/>
    </row>
    <row r="1397" spans="1:1" x14ac:dyDescent="0.25">
      <c r="A1397" s="12"/>
    </row>
    <row r="1398" spans="1:1" x14ac:dyDescent="0.25">
      <c r="A1398" s="12"/>
    </row>
    <row r="1399" spans="1:1" x14ac:dyDescent="0.25">
      <c r="A1399" s="12"/>
    </row>
    <row r="1400" spans="1:1" x14ac:dyDescent="0.25">
      <c r="A1400" s="12"/>
    </row>
    <row r="1401" spans="1:1" x14ac:dyDescent="0.25">
      <c r="A1401" s="12"/>
    </row>
    <row r="1402" spans="1:1" x14ac:dyDescent="0.25">
      <c r="A1402" s="12"/>
    </row>
    <row r="1403" spans="1:1" x14ac:dyDescent="0.25">
      <c r="A1403" s="12"/>
    </row>
    <row r="1404" spans="1:1" x14ac:dyDescent="0.25">
      <c r="A1404" s="12"/>
    </row>
    <row r="1405" spans="1:1" x14ac:dyDescent="0.25">
      <c r="A1405" s="12"/>
    </row>
    <row r="1406" spans="1:1" x14ac:dyDescent="0.25">
      <c r="A1406" s="12"/>
    </row>
    <row r="1407" spans="1:1" x14ac:dyDescent="0.25">
      <c r="A1407" s="12"/>
    </row>
    <row r="1408" spans="1:1" x14ac:dyDescent="0.25">
      <c r="A1408" s="12"/>
    </row>
    <row r="1409" spans="1:1" x14ac:dyDescent="0.25">
      <c r="A1409" s="12"/>
    </row>
    <row r="1410" spans="1:1" x14ac:dyDescent="0.25">
      <c r="A1410" s="12"/>
    </row>
    <row r="1411" spans="1:1" x14ac:dyDescent="0.25">
      <c r="A1411" s="12"/>
    </row>
    <row r="1412" spans="1:1" x14ac:dyDescent="0.25">
      <c r="A1412" s="12"/>
    </row>
    <row r="1413" spans="1:1" x14ac:dyDescent="0.25">
      <c r="A1413" s="12"/>
    </row>
    <row r="1414" spans="1:1" x14ac:dyDescent="0.25">
      <c r="A1414" s="12"/>
    </row>
    <row r="1415" spans="1:1" x14ac:dyDescent="0.25">
      <c r="A1415" s="12"/>
    </row>
    <row r="1416" spans="1:1" x14ac:dyDescent="0.25">
      <c r="A1416" s="12"/>
    </row>
    <row r="1417" spans="1:1" x14ac:dyDescent="0.25">
      <c r="A1417" s="12"/>
    </row>
    <row r="1418" spans="1:1" x14ac:dyDescent="0.25">
      <c r="A1418" s="12"/>
    </row>
    <row r="1419" spans="1:1" x14ac:dyDescent="0.25">
      <c r="A1419" s="12"/>
    </row>
    <row r="1420" spans="1:1" x14ac:dyDescent="0.25">
      <c r="A1420" s="12"/>
    </row>
    <row r="1421" spans="1:1" x14ac:dyDescent="0.25">
      <c r="A1421" s="12"/>
    </row>
    <row r="1422" spans="1:1" x14ac:dyDescent="0.25">
      <c r="A1422" s="12"/>
    </row>
    <row r="1423" spans="1:1" x14ac:dyDescent="0.25">
      <c r="A1423" s="12"/>
    </row>
    <row r="1424" spans="1:1" x14ac:dyDescent="0.25">
      <c r="A1424" s="12"/>
    </row>
    <row r="1425" spans="1:1" x14ac:dyDescent="0.25">
      <c r="A1425" s="12"/>
    </row>
    <row r="1426" spans="1:1" x14ac:dyDescent="0.25">
      <c r="A1426" s="12"/>
    </row>
    <row r="1427" spans="1:1" x14ac:dyDescent="0.25">
      <c r="A1427" s="12"/>
    </row>
    <row r="1428" spans="1:1" x14ac:dyDescent="0.25">
      <c r="A1428" s="12"/>
    </row>
    <row r="1429" spans="1:1" x14ac:dyDescent="0.25">
      <c r="A1429" s="12"/>
    </row>
    <row r="1430" spans="1:1" x14ac:dyDescent="0.25">
      <c r="A1430" s="12"/>
    </row>
    <row r="1431" spans="1:1" x14ac:dyDescent="0.25">
      <c r="A1431" s="12"/>
    </row>
    <row r="1432" spans="1:1" x14ac:dyDescent="0.25">
      <c r="A1432" s="12"/>
    </row>
    <row r="1433" spans="1:1" x14ac:dyDescent="0.25">
      <c r="A1433" s="12"/>
    </row>
    <row r="1434" spans="1:1" x14ac:dyDescent="0.25">
      <c r="A1434" s="12"/>
    </row>
    <row r="1435" spans="1:1" x14ac:dyDescent="0.25">
      <c r="A1435" s="12"/>
    </row>
    <row r="1436" spans="1:1" x14ac:dyDescent="0.25">
      <c r="A1436" s="12"/>
    </row>
    <row r="1437" spans="1:1" x14ac:dyDescent="0.25">
      <c r="A1437" s="12"/>
    </row>
    <row r="1438" spans="1:1" x14ac:dyDescent="0.25">
      <c r="A1438" s="12"/>
    </row>
    <row r="1439" spans="1:1" x14ac:dyDescent="0.25">
      <c r="A1439" s="12"/>
    </row>
    <row r="1440" spans="1:1" x14ac:dyDescent="0.25">
      <c r="A1440" s="12"/>
    </row>
    <row r="1441" spans="1:1" x14ac:dyDescent="0.25">
      <c r="A1441" s="12"/>
    </row>
    <row r="1442" spans="1:1" x14ac:dyDescent="0.25">
      <c r="A1442" s="12"/>
    </row>
    <row r="1443" spans="1:1" x14ac:dyDescent="0.25">
      <c r="A1443" s="12"/>
    </row>
    <row r="1444" spans="1:1" x14ac:dyDescent="0.25">
      <c r="A1444" s="12"/>
    </row>
    <row r="1445" spans="1:1" x14ac:dyDescent="0.25">
      <c r="A1445" s="12"/>
    </row>
    <row r="1446" spans="1:1" x14ac:dyDescent="0.25">
      <c r="A1446" s="12"/>
    </row>
    <row r="1447" spans="1:1" x14ac:dyDescent="0.25">
      <c r="A1447" s="12"/>
    </row>
    <row r="1448" spans="1:1" x14ac:dyDescent="0.25">
      <c r="A1448" s="12"/>
    </row>
    <row r="1449" spans="1:1" x14ac:dyDescent="0.25">
      <c r="A1449" s="12"/>
    </row>
    <row r="1450" spans="1:1" x14ac:dyDescent="0.25">
      <c r="A1450" s="12"/>
    </row>
    <row r="1451" spans="1:1" x14ac:dyDescent="0.25">
      <c r="A1451" s="12"/>
    </row>
    <row r="1452" spans="1:1" x14ac:dyDescent="0.25">
      <c r="A1452" s="12"/>
    </row>
    <row r="1453" spans="1:1" x14ac:dyDescent="0.25">
      <c r="A1453" s="12"/>
    </row>
    <row r="1454" spans="1:1" x14ac:dyDescent="0.25">
      <c r="A1454" s="12"/>
    </row>
    <row r="1455" spans="1:1" x14ac:dyDescent="0.25">
      <c r="A1455" s="12"/>
    </row>
    <row r="1456" spans="1:1" x14ac:dyDescent="0.25">
      <c r="A1456" s="12"/>
    </row>
    <row r="1457" spans="1:1" x14ac:dyDescent="0.25">
      <c r="A1457" s="12"/>
    </row>
    <row r="1458" spans="1:1" x14ac:dyDescent="0.25">
      <c r="A1458" s="12"/>
    </row>
    <row r="1459" spans="1:1" x14ac:dyDescent="0.25">
      <c r="A1459" s="12"/>
    </row>
    <row r="1460" spans="1:1" x14ac:dyDescent="0.25">
      <c r="A1460" s="12"/>
    </row>
    <row r="1461" spans="1:1" x14ac:dyDescent="0.25">
      <c r="A1461" s="12"/>
    </row>
    <row r="1462" spans="1:1" x14ac:dyDescent="0.25">
      <c r="A1462" s="12"/>
    </row>
    <row r="1463" spans="1:1" x14ac:dyDescent="0.25">
      <c r="A1463" s="12"/>
    </row>
    <row r="1464" spans="1:1" x14ac:dyDescent="0.25">
      <c r="A1464" s="12"/>
    </row>
    <row r="1465" spans="1:1" x14ac:dyDescent="0.25">
      <c r="A1465" s="12"/>
    </row>
    <row r="1466" spans="1:1" x14ac:dyDescent="0.25">
      <c r="A1466" s="12"/>
    </row>
    <row r="1467" spans="1:1" x14ac:dyDescent="0.25">
      <c r="A1467" s="12"/>
    </row>
    <row r="1468" spans="1:1" x14ac:dyDescent="0.25">
      <c r="A1468" s="12"/>
    </row>
    <row r="1469" spans="1:1" x14ac:dyDescent="0.25">
      <c r="A1469" s="12"/>
    </row>
    <row r="1470" spans="1:1" x14ac:dyDescent="0.25">
      <c r="A1470" s="12"/>
    </row>
    <row r="1471" spans="1:1" x14ac:dyDescent="0.25">
      <c r="A1471" s="12"/>
    </row>
    <row r="1472" spans="1:1" x14ac:dyDescent="0.25">
      <c r="A1472" s="12"/>
    </row>
    <row r="1473" spans="1:1" x14ac:dyDescent="0.25">
      <c r="A1473" s="12"/>
    </row>
    <row r="1474" spans="1:1" x14ac:dyDescent="0.25">
      <c r="A1474" s="12"/>
    </row>
    <row r="1475" spans="1:1" x14ac:dyDescent="0.25">
      <c r="A1475" s="12"/>
    </row>
    <row r="1476" spans="1:1" x14ac:dyDescent="0.25">
      <c r="A1476" s="12"/>
    </row>
    <row r="1477" spans="1:1" x14ac:dyDescent="0.25">
      <c r="A1477" s="12"/>
    </row>
    <row r="1478" spans="1:1" x14ac:dyDescent="0.25">
      <c r="A1478" s="12"/>
    </row>
    <row r="1479" spans="1:1" x14ac:dyDescent="0.25">
      <c r="A1479" s="12"/>
    </row>
    <row r="1480" spans="1:1" x14ac:dyDescent="0.25">
      <c r="A1480" s="12"/>
    </row>
    <row r="1481" spans="1:1" x14ac:dyDescent="0.25">
      <c r="A1481" s="12"/>
    </row>
    <row r="1482" spans="1:1" x14ac:dyDescent="0.25">
      <c r="A1482" s="12"/>
    </row>
    <row r="1483" spans="1:1" x14ac:dyDescent="0.25">
      <c r="A1483" s="12"/>
    </row>
    <row r="1484" spans="1:1" x14ac:dyDescent="0.25">
      <c r="A1484" s="12"/>
    </row>
    <row r="1485" spans="1:1" x14ac:dyDescent="0.25">
      <c r="A1485" s="12"/>
    </row>
    <row r="1486" spans="1:1" x14ac:dyDescent="0.25">
      <c r="A1486" s="12"/>
    </row>
    <row r="1487" spans="1:1" x14ac:dyDescent="0.25">
      <c r="A1487" s="12"/>
    </row>
    <row r="1488" spans="1:1" x14ac:dyDescent="0.25">
      <c r="A1488" s="12"/>
    </row>
    <row r="1489" spans="1:1" x14ac:dyDescent="0.25">
      <c r="A1489" s="12"/>
    </row>
    <row r="1490" spans="1:1" x14ac:dyDescent="0.25">
      <c r="A1490" s="12"/>
    </row>
    <row r="1491" spans="1:1" x14ac:dyDescent="0.25">
      <c r="A1491" s="12"/>
    </row>
    <row r="1492" spans="1:1" x14ac:dyDescent="0.25">
      <c r="A1492" s="12"/>
    </row>
    <row r="1493" spans="1:1" x14ac:dyDescent="0.25">
      <c r="A1493" s="12"/>
    </row>
    <row r="1494" spans="1:1" x14ac:dyDescent="0.25">
      <c r="A1494" s="12"/>
    </row>
    <row r="1495" spans="1:1" x14ac:dyDescent="0.25">
      <c r="A1495" s="12"/>
    </row>
    <row r="1496" spans="1:1" x14ac:dyDescent="0.25">
      <c r="A1496" s="12"/>
    </row>
    <row r="1497" spans="1:1" x14ac:dyDescent="0.25">
      <c r="A1497" s="12"/>
    </row>
    <row r="1498" spans="1:1" x14ac:dyDescent="0.25">
      <c r="A1498" s="12"/>
    </row>
    <row r="1499" spans="1:1" x14ac:dyDescent="0.25">
      <c r="A1499" s="12"/>
    </row>
    <row r="1500" spans="1:1" x14ac:dyDescent="0.25">
      <c r="A1500" s="12"/>
    </row>
    <row r="1501" spans="1:1" x14ac:dyDescent="0.25">
      <c r="A1501" s="12"/>
    </row>
    <row r="1502" spans="1:1" x14ac:dyDescent="0.25">
      <c r="A1502" s="12"/>
    </row>
    <row r="1503" spans="1:1" x14ac:dyDescent="0.25">
      <c r="A1503" s="12"/>
    </row>
    <row r="1504" spans="1:1" x14ac:dyDescent="0.25">
      <c r="A1504" s="12"/>
    </row>
    <row r="1505" spans="1:1" x14ac:dyDescent="0.25">
      <c r="A1505" s="12"/>
    </row>
    <row r="1506" spans="1:1" x14ac:dyDescent="0.25">
      <c r="A1506" s="12"/>
    </row>
    <row r="1507" spans="1:1" x14ac:dyDescent="0.25">
      <c r="A1507" s="12"/>
    </row>
    <row r="1508" spans="1:1" x14ac:dyDescent="0.25">
      <c r="A1508" s="12"/>
    </row>
    <row r="1509" spans="1:1" x14ac:dyDescent="0.25">
      <c r="A1509" s="12"/>
    </row>
    <row r="1510" spans="1:1" x14ac:dyDescent="0.25">
      <c r="A1510" s="12"/>
    </row>
    <row r="1511" spans="1:1" x14ac:dyDescent="0.25">
      <c r="A1511" s="12"/>
    </row>
    <row r="1512" spans="1:1" x14ac:dyDescent="0.25">
      <c r="A1512" s="12"/>
    </row>
    <row r="1513" spans="1:1" x14ac:dyDescent="0.25">
      <c r="A1513" s="12"/>
    </row>
    <row r="1514" spans="1:1" x14ac:dyDescent="0.25">
      <c r="A1514" s="12"/>
    </row>
    <row r="1515" spans="1:1" x14ac:dyDescent="0.25">
      <c r="A1515" s="12"/>
    </row>
    <row r="1516" spans="1:1" x14ac:dyDescent="0.25">
      <c r="A1516" s="12"/>
    </row>
    <row r="1517" spans="1:1" x14ac:dyDescent="0.25">
      <c r="A1517" s="12"/>
    </row>
    <row r="1518" spans="1:1" x14ac:dyDescent="0.25">
      <c r="A1518" s="12"/>
    </row>
    <row r="1519" spans="1:1" x14ac:dyDescent="0.25">
      <c r="A1519" s="12"/>
    </row>
    <row r="1520" spans="1:1" x14ac:dyDescent="0.25">
      <c r="A1520" s="12"/>
    </row>
    <row r="1521" spans="1:1" x14ac:dyDescent="0.25">
      <c r="A1521" s="12"/>
    </row>
    <row r="1522" spans="1:1" x14ac:dyDescent="0.25">
      <c r="A1522" s="12"/>
    </row>
    <row r="1523" spans="1:1" x14ac:dyDescent="0.25">
      <c r="A1523" s="12"/>
    </row>
    <row r="1524" spans="1:1" x14ac:dyDescent="0.25">
      <c r="A1524" s="12"/>
    </row>
    <row r="1525" spans="1:1" x14ac:dyDescent="0.25">
      <c r="A1525" s="12"/>
    </row>
    <row r="1526" spans="1:1" x14ac:dyDescent="0.25">
      <c r="A1526" s="12"/>
    </row>
    <row r="1527" spans="1:1" x14ac:dyDescent="0.25">
      <c r="A1527" s="12"/>
    </row>
    <row r="1528" spans="1:1" x14ac:dyDescent="0.25">
      <c r="A1528" s="12"/>
    </row>
    <row r="1529" spans="1:1" x14ac:dyDescent="0.25">
      <c r="A1529" s="12"/>
    </row>
    <row r="1530" spans="1:1" x14ac:dyDescent="0.25">
      <c r="A1530" s="12"/>
    </row>
    <row r="1531" spans="1:1" x14ac:dyDescent="0.25">
      <c r="A1531" s="12"/>
    </row>
    <row r="1532" spans="1:1" x14ac:dyDescent="0.25">
      <c r="A1532" s="12"/>
    </row>
    <row r="1533" spans="1:1" x14ac:dyDescent="0.25">
      <c r="A1533" s="12"/>
    </row>
    <row r="1534" spans="1:1" x14ac:dyDescent="0.25">
      <c r="A1534" s="12"/>
    </row>
    <row r="1535" spans="1:1" x14ac:dyDescent="0.25">
      <c r="A1535" s="12"/>
    </row>
    <row r="1536" spans="1:1" x14ac:dyDescent="0.25">
      <c r="A1536" s="12"/>
    </row>
    <row r="1537" spans="1:4" x14ac:dyDescent="0.25">
      <c r="A1537" s="12"/>
    </row>
    <row r="1538" spans="1:4" x14ac:dyDescent="0.25">
      <c r="A1538" s="12"/>
    </row>
    <row r="1539" spans="1:4" x14ac:dyDescent="0.25">
      <c r="A1539" s="12"/>
    </row>
    <row r="1540" spans="1:4" x14ac:dyDescent="0.25">
      <c r="A1540" s="12"/>
    </row>
    <row r="1541" spans="1:4" x14ac:dyDescent="0.25">
      <c r="A1541" s="13"/>
      <c r="D1541" s="6"/>
    </row>
    <row r="1542" spans="1:4" x14ac:dyDescent="0.25">
      <c r="A1542" s="12"/>
    </row>
    <row r="1543" spans="1:4" x14ac:dyDescent="0.25">
      <c r="A1543" s="12"/>
    </row>
    <row r="1544" spans="1:4" x14ac:dyDescent="0.25">
      <c r="A1544" s="12"/>
    </row>
    <row r="1545" spans="1:4" x14ac:dyDescent="0.25">
      <c r="A1545" s="12"/>
    </row>
    <row r="1546" spans="1:4" x14ac:dyDescent="0.25">
      <c r="A1546" s="12"/>
    </row>
    <row r="1547" spans="1:4" x14ac:dyDescent="0.25">
      <c r="A1547" s="12"/>
    </row>
    <row r="1548" spans="1:4" x14ac:dyDescent="0.25">
      <c r="A1548" s="12"/>
    </row>
    <row r="1549" spans="1:4" x14ac:dyDescent="0.25">
      <c r="A1549" s="12"/>
    </row>
    <row r="1550" spans="1:4" x14ac:dyDescent="0.25">
      <c r="A1550" s="12"/>
    </row>
    <row r="1551" spans="1:4" x14ac:dyDescent="0.25">
      <c r="A1551" s="12"/>
    </row>
    <row r="1552" spans="1:4" x14ac:dyDescent="0.25">
      <c r="A1552" s="12"/>
    </row>
    <row r="1553" spans="1:1" x14ac:dyDescent="0.25">
      <c r="A1553" s="12"/>
    </row>
    <row r="1554" spans="1:1" x14ac:dyDescent="0.25">
      <c r="A1554" s="12"/>
    </row>
    <row r="1555" spans="1:1" x14ac:dyDescent="0.25">
      <c r="A1555" s="12"/>
    </row>
    <row r="1556" spans="1:1" x14ac:dyDescent="0.25">
      <c r="A1556" s="12"/>
    </row>
    <row r="1557" spans="1:1" x14ac:dyDescent="0.25">
      <c r="A1557" s="12"/>
    </row>
    <row r="1558" spans="1:1" x14ac:dyDescent="0.25">
      <c r="A1558" s="12"/>
    </row>
    <row r="1559" spans="1:1" x14ac:dyDescent="0.25">
      <c r="A1559" s="12"/>
    </row>
    <row r="1560" spans="1:1" x14ac:dyDescent="0.25">
      <c r="A1560" s="12"/>
    </row>
    <row r="1561" spans="1:1" x14ac:dyDescent="0.25">
      <c r="A1561" s="12"/>
    </row>
    <row r="1562" spans="1:1" x14ac:dyDescent="0.25">
      <c r="A1562" s="12"/>
    </row>
    <row r="1563" spans="1:1" x14ac:dyDescent="0.25">
      <c r="A1563" s="12"/>
    </row>
    <row r="1564" spans="1:1" x14ac:dyDescent="0.25">
      <c r="A1564" s="12"/>
    </row>
    <row r="1565" spans="1:1" x14ac:dyDescent="0.25">
      <c r="A1565" s="12"/>
    </row>
    <row r="1566" spans="1:1" x14ac:dyDescent="0.25">
      <c r="A1566" s="12"/>
    </row>
    <row r="1567" spans="1:1" x14ac:dyDescent="0.25">
      <c r="A1567" s="12"/>
    </row>
    <row r="1568" spans="1:1" x14ac:dyDescent="0.25">
      <c r="A1568" s="12"/>
    </row>
    <row r="1569" spans="1:1" x14ac:dyDescent="0.25">
      <c r="A1569" s="12"/>
    </row>
    <row r="1570" spans="1:1" x14ac:dyDescent="0.25">
      <c r="A1570" s="12"/>
    </row>
    <row r="1571" spans="1:1" x14ac:dyDescent="0.25">
      <c r="A1571" s="12"/>
    </row>
    <row r="1572" spans="1:1" x14ac:dyDescent="0.25">
      <c r="A1572" s="12"/>
    </row>
    <row r="1573" spans="1:1" x14ac:dyDescent="0.25">
      <c r="A1573" s="12"/>
    </row>
    <row r="1574" spans="1:1" x14ac:dyDescent="0.25">
      <c r="A1574" s="12"/>
    </row>
    <row r="1575" spans="1:1" x14ac:dyDescent="0.25">
      <c r="A1575" s="12"/>
    </row>
    <row r="1576" spans="1:1" x14ac:dyDescent="0.25">
      <c r="A1576" s="12"/>
    </row>
    <row r="1577" spans="1:1" x14ac:dyDescent="0.25">
      <c r="A1577" s="12"/>
    </row>
    <row r="1578" spans="1:1" x14ac:dyDescent="0.25">
      <c r="A1578" s="12"/>
    </row>
    <row r="1579" spans="1:1" x14ac:dyDescent="0.25">
      <c r="A1579" s="12"/>
    </row>
    <row r="1580" spans="1:1" x14ac:dyDescent="0.25">
      <c r="A1580" s="12"/>
    </row>
    <row r="1581" spans="1:1" x14ac:dyDescent="0.25">
      <c r="A1581" s="12"/>
    </row>
    <row r="1582" spans="1:1" x14ac:dyDescent="0.25">
      <c r="A1582" s="12"/>
    </row>
    <row r="1583" spans="1:1" x14ac:dyDescent="0.25">
      <c r="A1583" s="12"/>
    </row>
    <row r="1584" spans="1:1" x14ac:dyDescent="0.25">
      <c r="A1584" s="12"/>
    </row>
    <row r="1585" spans="1:1" x14ac:dyDescent="0.25">
      <c r="A1585" s="12"/>
    </row>
    <row r="1586" spans="1:1" x14ac:dyDescent="0.25">
      <c r="A1586" s="12"/>
    </row>
    <row r="1587" spans="1:1" x14ac:dyDescent="0.25">
      <c r="A1587" s="12"/>
    </row>
    <row r="1588" spans="1:1" x14ac:dyDescent="0.25">
      <c r="A1588" s="12"/>
    </row>
    <row r="1589" spans="1:1" x14ac:dyDescent="0.25">
      <c r="A1589" s="12"/>
    </row>
    <row r="1590" spans="1:1" x14ac:dyDescent="0.25">
      <c r="A1590" s="12"/>
    </row>
    <row r="1591" spans="1:1" x14ac:dyDescent="0.25">
      <c r="A1591" s="12"/>
    </row>
    <row r="1592" spans="1:1" x14ac:dyDescent="0.25">
      <c r="A1592" s="12"/>
    </row>
    <row r="1593" spans="1:1" x14ac:dyDescent="0.25">
      <c r="A1593" s="12"/>
    </row>
    <row r="1594" spans="1:1" x14ac:dyDescent="0.25">
      <c r="A1594" s="12"/>
    </row>
    <row r="1595" spans="1:1" x14ac:dyDescent="0.25">
      <c r="A1595" s="12"/>
    </row>
    <row r="1596" spans="1:1" x14ac:dyDescent="0.25">
      <c r="A1596" s="12"/>
    </row>
    <row r="1597" spans="1:1" x14ac:dyDescent="0.25">
      <c r="A1597" s="12"/>
    </row>
    <row r="1598" spans="1:1" x14ac:dyDescent="0.25">
      <c r="A1598" s="12"/>
    </row>
    <row r="1599" spans="1:1" x14ac:dyDescent="0.25">
      <c r="A1599" s="12"/>
    </row>
    <row r="1600" spans="1:1" x14ac:dyDescent="0.25">
      <c r="A1600" s="12"/>
    </row>
    <row r="1601" spans="1:1" x14ac:dyDescent="0.25">
      <c r="A1601" s="12"/>
    </row>
    <row r="1602" spans="1:1" x14ac:dyDescent="0.25">
      <c r="A1602" s="12"/>
    </row>
    <row r="1603" spans="1:1" x14ac:dyDescent="0.25">
      <c r="A1603" s="12"/>
    </row>
    <row r="1604" spans="1:1" x14ac:dyDescent="0.25">
      <c r="A1604" s="12"/>
    </row>
    <row r="1605" spans="1:1" x14ac:dyDescent="0.25">
      <c r="A1605" s="12"/>
    </row>
    <row r="1606" spans="1:1" x14ac:dyDescent="0.25">
      <c r="A1606" s="12"/>
    </row>
    <row r="1607" spans="1:1" x14ac:dyDescent="0.25">
      <c r="A1607" s="12"/>
    </row>
    <row r="1608" spans="1:1" x14ac:dyDescent="0.25">
      <c r="A1608" s="12"/>
    </row>
    <row r="1609" spans="1:1" x14ac:dyDescent="0.25">
      <c r="A1609" s="12"/>
    </row>
    <row r="1610" spans="1:1" x14ac:dyDescent="0.25">
      <c r="A1610" s="12"/>
    </row>
    <row r="1611" spans="1:1" x14ac:dyDescent="0.25">
      <c r="A1611" s="12"/>
    </row>
    <row r="1612" spans="1:1" x14ac:dyDescent="0.25">
      <c r="A1612" s="12"/>
    </row>
    <row r="1613" spans="1:1" x14ac:dyDescent="0.25">
      <c r="A1613" s="12"/>
    </row>
    <row r="1614" spans="1:1" x14ac:dyDescent="0.25">
      <c r="A1614" s="12"/>
    </row>
    <row r="1615" spans="1:1" x14ac:dyDescent="0.25">
      <c r="A1615" s="12"/>
    </row>
    <row r="1616" spans="1:1" x14ac:dyDescent="0.25">
      <c r="A1616" s="12"/>
    </row>
    <row r="1617" spans="1:1" x14ac:dyDescent="0.25">
      <c r="A1617" s="12"/>
    </row>
    <row r="1618" spans="1:1" x14ac:dyDescent="0.25">
      <c r="A1618" s="12"/>
    </row>
    <row r="1619" spans="1:1" x14ac:dyDescent="0.25">
      <c r="A1619" s="12"/>
    </row>
    <row r="1620" spans="1:1" x14ac:dyDescent="0.25">
      <c r="A1620" s="12"/>
    </row>
    <row r="1621" spans="1:1" x14ac:dyDescent="0.25">
      <c r="A1621" s="12"/>
    </row>
    <row r="1622" spans="1:1" x14ac:dyDescent="0.25">
      <c r="A1622" s="12"/>
    </row>
    <row r="1623" spans="1:1" x14ac:dyDescent="0.25">
      <c r="A1623" s="12"/>
    </row>
    <row r="1624" spans="1:1" x14ac:dyDescent="0.25">
      <c r="A1624" s="12"/>
    </row>
    <row r="1625" spans="1:1" x14ac:dyDescent="0.25">
      <c r="A1625" s="13"/>
    </row>
    <row r="1626" spans="1:1" x14ac:dyDescent="0.25">
      <c r="A1626" s="13"/>
    </row>
    <row r="1627" spans="1:1" x14ac:dyDescent="0.25">
      <c r="A1627" s="13"/>
    </row>
    <row r="1628" spans="1:1" x14ac:dyDescent="0.25">
      <c r="A1628" s="13"/>
    </row>
    <row r="1629" spans="1:1" x14ac:dyDescent="0.25">
      <c r="A1629" s="13"/>
    </row>
    <row r="1630" spans="1:1" x14ac:dyDescent="0.25">
      <c r="A1630" s="13"/>
    </row>
    <row r="1631" spans="1:1" x14ac:dyDescent="0.25">
      <c r="A1631" s="13"/>
    </row>
    <row r="1632" spans="1:1" x14ac:dyDescent="0.25">
      <c r="A1632" s="12"/>
    </row>
    <row r="1633" spans="1:1" x14ac:dyDescent="0.25">
      <c r="A1633" s="12"/>
    </row>
    <row r="1634" spans="1:1" x14ac:dyDescent="0.25">
      <c r="A1634" s="12"/>
    </row>
    <row r="1635" spans="1:1" x14ac:dyDescent="0.25">
      <c r="A1635" s="12"/>
    </row>
    <row r="1636" spans="1:1" x14ac:dyDescent="0.25">
      <c r="A1636" s="12"/>
    </row>
    <row r="1637" spans="1:1" x14ac:dyDescent="0.25">
      <c r="A1637" s="12"/>
    </row>
    <row r="1638" spans="1:1" x14ac:dyDescent="0.25">
      <c r="A1638" s="12"/>
    </row>
    <row r="1639" spans="1:1" x14ac:dyDescent="0.25">
      <c r="A1639" s="12"/>
    </row>
    <row r="1640" spans="1:1" x14ac:dyDescent="0.25">
      <c r="A1640" s="12"/>
    </row>
    <row r="1641" spans="1:1" x14ac:dyDescent="0.25">
      <c r="A1641" s="12"/>
    </row>
    <row r="1642" spans="1:1" x14ac:dyDescent="0.25">
      <c r="A1642" s="12"/>
    </row>
    <row r="1643" spans="1:1" x14ac:dyDescent="0.25">
      <c r="A1643" s="12"/>
    </row>
    <row r="1644" spans="1:1" x14ac:dyDescent="0.25">
      <c r="A1644" s="12"/>
    </row>
    <row r="1645" spans="1:1" x14ac:dyDescent="0.25">
      <c r="A1645" s="12"/>
    </row>
    <row r="1646" spans="1:1" x14ac:dyDescent="0.25">
      <c r="A1646" s="12"/>
    </row>
    <row r="1647" spans="1:1" x14ac:dyDescent="0.25">
      <c r="A1647" s="12"/>
    </row>
    <row r="1648" spans="1:1" x14ac:dyDescent="0.25">
      <c r="A1648" s="12"/>
    </row>
    <row r="1649" spans="1:1" x14ac:dyDescent="0.25">
      <c r="A1649" s="12"/>
    </row>
    <row r="1650" spans="1:1" x14ac:dyDescent="0.25">
      <c r="A1650" s="12"/>
    </row>
    <row r="1651" spans="1:1" x14ac:dyDescent="0.25">
      <c r="A1651" s="12"/>
    </row>
    <row r="1652" spans="1:1" x14ac:dyDescent="0.25">
      <c r="A1652" s="12"/>
    </row>
    <row r="1653" spans="1:1" x14ac:dyDescent="0.25">
      <c r="A1653" s="12"/>
    </row>
    <row r="1654" spans="1:1" x14ac:dyDescent="0.25">
      <c r="A1654" s="12"/>
    </row>
    <row r="1655" spans="1:1" x14ac:dyDescent="0.25">
      <c r="A1655" s="12"/>
    </row>
    <row r="1656" spans="1:1" x14ac:dyDescent="0.25">
      <c r="A1656" s="12"/>
    </row>
    <row r="1657" spans="1:1" x14ac:dyDescent="0.25">
      <c r="A1657" s="12"/>
    </row>
    <row r="1658" spans="1:1" x14ac:dyDescent="0.25">
      <c r="A1658" s="12"/>
    </row>
    <row r="1659" spans="1:1" x14ac:dyDescent="0.25">
      <c r="A1659" s="12"/>
    </row>
    <row r="1660" spans="1:1" x14ac:dyDescent="0.25">
      <c r="A1660" s="12"/>
    </row>
    <row r="1661" spans="1:1" x14ac:dyDescent="0.25">
      <c r="A1661" s="12"/>
    </row>
    <row r="1662" spans="1:1" x14ac:dyDescent="0.25">
      <c r="A1662" s="12"/>
    </row>
    <row r="1663" spans="1:1" x14ac:dyDescent="0.25">
      <c r="A1663" s="12"/>
    </row>
    <row r="1664" spans="1:1" x14ac:dyDescent="0.25">
      <c r="A1664" s="12"/>
    </row>
    <row r="1665" spans="1:1" x14ac:dyDescent="0.25">
      <c r="A1665" s="12"/>
    </row>
    <row r="1666" spans="1:1" x14ac:dyDescent="0.25">
      <c r="A1666" s="12"/>
    </row>
    <row r="1667" spans="1:1" x14ac:dyDescent="0.25">
      <c r="A1667" s="12"/>
    </row>
    <row r="1668" spans="1:1" x14ac:dyDescent="0.25">
      <c r="A1668" s="12"/>
    </row>
    <row r="1669" spans="1:1" x14ac:dyDescent="0.25">
      <c r="A1669" s="12"/>
    </row>
    <row r="1670" spans="1:1" x14ac:dyDescent="0.25">
      <c r="A1670" s="12"/>
    </row>
    <row r="1671" spans="1:1" x14ac:dyDescent="0.25">
      <c r="A1671" s="12"/>
    </row>
    <row r="1672" spans="1:1" x14ac:dyDescent="0.25">
      <c r="A1672" s="12"/>
    </row>
    <row r="1673" spans="1:1" x14ac:dyDescent="0.25">
      <c r="A1673" s="12"/>
    </row>
    <row r="1674" spans="1:1" x14ac:dyDescent="0.25">
      <c r="A1674" s="12"/>
    </row>
    <row r="1675" spans="1:1" x14ac:dyDescent="0.25">
      <c r="A1675" s="12"/>
    </row>
    <row r="1676" spans="1:1" x14ac:dyDescent="0.25">
      <c r="A1676" s="12"/>
    </row>
    <row r="1677" spans="1:1" x14ac:dyDescent="0.25">
      <c r="A1677" s="12"/>
    </row>
    <row r="1678" spans="1:1" x14ac:dyDescent="0.25">
      <c r="A1678" s="12"/>
    </row>
    <row r="1679" spans="1:1" x14ac:dyDescent="0.25">
      <c r="A1679" s="12"/>
    </row>
    <row r="1680" spans="1:1" x14ac:dyDescent="0.25">
      <c r="A1680" s="12"/>
    </row>
    <row r="1681" spans="1:1" x14ac:dyDescent="0.25">
      <c r="A1681" s="12"/>
    </row>
    <row r="1682" spans="1:1" x14ac:dyDescent="0.25">
      <c r="A1682" s="12"/>
    </row>
    <row r="1683" spans="1:1" x14ac:dyDescent="0.25">
      <c r="A1683" s="12"/>
    </row>
    <row r="1684" spans="1:1" x14ac:dyDescent="0.25">
      <c r="A1684" s="12"/>
    </row>
    <row r="1685" spans="1:1" x14ac:dyDescent="0.25">
      <c r="A1685" s="12"/>
    </row>
    <row r="1686" spans="1:1" x14ac:dyDescent="0.25">
      <c r="A1686" s="12"/>
    </row>
    <row r="1687" spans="1:1" x14ac:dyDescent="0.25">
      <c r="A1687" s="12"/>
    </row>
    <row r="1688" spans="1:1" x14ac:dyDescent="0.25">
      <c r="A1688" s="12"/>
    </row>
    <row r="1689" spans="1:1" x14ac:dyDescent="0.25">
      <c r="A1689" s="12"/>
    </row>
    <row r="1690" spans="1:1" x14ac:dyDescent="0.25">
      <c r="A1690" s="12"/>
    </row>
    <row r="1691" spans="1:1" x14ac:dyDescent="0.25">
      <c r="A1691" s="12"/>
    </row>
    <row r="1692" spans="1:1" x14ac:dyDescent="0.25">
      <c r="A1692" s="12"/>
    </row>
    <row r="1693" spans="1:1" x14ac:dyDescent="0.25">
      <c r="A1693" s="12"/>
    </row>
    <row r="1694" spans="1:1" x14ac:dyDescent="0.25">
      <c r="A1694" s="12"/>
    </row>
    <row r="1695" spans="1:1" x14ac:dyDescent="0.25">
      <c r="A1695" s="12"/>
    </row>
    <row r="1696" spans="1:1" x14ac:dyDescent="0.25">
      <c r="A1696" s="12"/>
    </row>
    <row r="1697" spans="1:1" x14ac:dyDescent="0.25">
      <c r="A1697" s="12"/>
    </row>
    <row r="1698" spans="1:1" x14ac:dyDescent="0.25">
      <c r="A1698" s="12"/>
    </row>
    <row r="1699" spans="1:1" x14ac:dyDescent="0.25">
      <c r="A1699" s="12"/>
    </row>
    <row r="1700" spans="1:1" x14ac:dyDescent="0.25">
      <c r="A1700" s="12"/>
    </row>
    <row r="1701" spans="1:1" x14ac:dyDescent="0.25">
      <c r="A1701" s="12"/>
    </row>
    <row r="1702" spans="1:1" x14ac:dyDescent="0.25">
      <c r="A1702" s="12"/>
    </row>
    <row r="1703" spans="1:1" x14ac:dyDescent="0.25">
      <c r="A1703" s="12"/>
    </row>
    <row r="1704" spans="1:1" x14ac:dyDescent="0.25">
      <c r="A1704" s="12"/>
    </row>
    <row r="1705" spans="1:1" x14ac:dyDescent="0.25">
      <c r="A1705" s="12"/>
    </row>
    <row r="1706" spans="1:1" x14ac:dyDescent="0.25">
      <c r="A1706" s="12"/>
    </row>
    <row r="1707" spans="1:1" x14ac:dyDescent="0.25">
      <c r="A1707" s="12"/>
    </row>
    <row r="1708" spans="1:1" x14ac:dyDescent="0.25">
      <c r="A1708" s="12"/>
    </row>
    <row r="1709" spans="1:1" x14ac:dyDescent="0.25">
      <c r="A1709" s="12"/>
    </row>
    <row r="1710" spans="1:1" x14ac:dyDescent="0.25">
      <c r="A1710" s="12"/>
    </row>
    <row r="1711" spans="1:1" x14ac:dyDescent="0.25">
      <c r="A1711" s="12"/>
    </row>
    <row r="1712" spans="1:1" x14ac:dyDescent="0.25">
      <c r="A1712" s="12"/>
    </row>
    <row r="1713" spans="1:1" x14ac:dyDescent="0.25">
      <c r="A1713" s="12"/>
    </row>
    <row r="1714" spans="1:1" x14ac:dyDescent="0.25">
      <c r="A1714" s="12"/>
    </row>
    <row r="1715" spans="1:1" x14ac:dyDescent="0.25">
      <c r="A1715" s="12"/>
    </row>
    <row r="1716" spans="1:1" x14ac:dyDescent="0.25">
      <c r="A1716" s="12"/>
    </row>
    <row r="1717" spans="1:1" x14ac:dyDescent="0.25">
      <c r="A1717" s="12"/>
    </row>
    <row r="1718" spans="1:1" x14ac:dyDescent="0.25">
      <c r="A1718" s="12"/>
    </row>
    <row r="1719" spans="1:1" x14ac:dyDescent="0.25">
      <c r="A1719" s="12"/>
    </row>
    <row r="1720" spans="1:1" x14ac:dyDescent="0.25">
      <c r="A1720" s="12"/>
    </row>
    <row r="1721" spans="1:1" x14ac:dyDescent="0.25">
      <c r="A1721" s="12"/>
    </row>
    <row r="1722" spans="1:1" x14ac:dyDescent="0.25">
      <c r="A1722" s="12"/>
    </row>
    <row r="1723" spans="1:1" x14ac:dyDescent="0.25">
      <c r="A1723" s="12"/>
    </row>
    <row r="1724" spans="1:1" x14ac:dyDescent="0.25">
      <c r="A1724" s="12"/>
    </row>
    <row r="1725" spans="1:1" x14ac:dyDescent="0.25">
      <c r="A1725" s="12"/>
    </row>
    <row r="1726" spans="1:1" x14ac:dyDescent="0.25">
      <c r="A1726" s="12"/>
    </row>
    <row r="1727" spans="1:1" x14ac:dyDescent="0.25">
      <c r="A1727" s="12"/>
    </row>
    <row r="1728" spans="1:1" x14ac:dyDescent="0.25">
      <c r="A1728" s="12"/>
    </row>
    <row r="1729" spans="1:4" x14ac:dyDescent="0.25">
      <c r="A1729" s="12"/>
    </row>
    <row r="1730" spans="1:4" x14ac:dyDescent="0.25">
      <c r="A1730" s="12"/>
    </row>
    <row r="1731" spans="1:4" x14ac:dyDescent="0.25">
      <c r="A1731" s="12"/>
    </row>
    <row r="1732" spans="1:4" x14ac:dyDescent="0.25">
      <c r="A1732" s="12"/>
    </row>
    <row r="1733" spans="1:4" x14ac:dyDescent="0.25">
      <c r="A1733" s="12"/>
    </row>
    <row r="1734" spans="1:4" x14ac:dyDescent="0.25">
      <c r="A1734" s="12"/>
    </row>
    <row r="1735" spans="1:4" x14ac:dyDescent="0.25">
      <c r="A1735" s="12"/>
    </row>
    <row r="1736" spans="1:4" x14ac:dyDescent="0.25">
      <c r="A1736" s="12"/>
    </row>
    <row r="1737" spans="1:4" x14ac:dyDescent="0.25">
      <c r="A1737" s="12"/>
    </row>
    <row r="1738" spans="1:4" x14ac:dyDescent="0.25">
      <c r="A1738" s="13"/>
      <c r="D1738" s="6"/>
    </row>
    <row r="1739" spans="1:4" x14ac:dyDescent="0.25">
      <c r="A1739" s="12"/>
    </row>
    <row r="1740" spans="1:4" x14ac:dyDescent="0.25">
      <c r="A1740" s="12"/>
    </row>
    <row r="1741" spans="1:4" x14ac:dyDescent="0.25">
      <c r="A1741" s="12"/>
    </row>
    <row r="1742" spans="1:4" x14ac:dyDescent="0.25">
      <c r="A1742" s="12"/>
    </row>
    <row r="1743" spans="1:4" x14ac:dyDescent="0.25">
      <c r="A1743" s="12"/>
    </row>
    <row r="1744" spans="1:4" x14ac:dyDescent="0.25">
      <c r="A1744" s="12"/>
    </row>
    <row r="1745" spans="1:1" x14ac:dyDescent="0.25">
      <c r="A1745" s="12"/>
    </row>
    <row r="1746" spans="1:1" x14ac:dyDescent="0.25">
      <c r="A1746" s="12"/>
    </row>
    <row r="1747" spans="1:1" x14ac:dyDescent="0.25">
      <c r="A1747" s="12"/>
    </row>
    <row r="1748" spans="1:1" x14ac:dyDescent="0.25">
      <c r="A1748" s="12"/>
    </row>
    <row r="1749" spans="1:1" x14ac:dyDescent="0.25">
      <c r="A1749" s="12"/>
    </row>
    <row r="1750" spans="1:1" x14ac:dyDescent="0.25">
      <c r="A1750" s="12"/>
    </row>
    <row r="1751" spans="1:1" x14ac:dyDescent="0.25">
      <c r="A1751" s="12"/>
    </row>
    <row r="1752" spans="1:1" x14ac:dyDescent="0.25">
      <c r="A1752" s="12"/>
    </row>
    <row r="1753" spans="1:1" x14ac:dyDescent="0.25">
      <c r="A1753" s="12"/>
    </row>
    <row r="1754" spans="1:1" x14ac:dyDescent="0.25">
      <c r="A1754" s="12"/>
    </row>
    <row r="1755" spans="1:1" x14ac:dyDescent="0.25">
      <c r="A1755" s="12"/>
    </row>
    <row r="1756" spans="1:1" x14ac:dyDescent="0.25">
      <c r="A1756" s="12"/>
    </row>
    <row r="1757" spans="1:1" x14ac:dyDescent="0.25">
      <c r="A1757" s="12"/>
    </row>
    <row r="1758" spans="1:1" x14ac:dyDescent="0.25">
      <c r="A1758" s="12"/>
    </row>
    <row r="1759" spans="1:1" x14ac:dyDescent="0.25">
      <c r="A1759" s="12"/>
    </row>
    <row r="1760" spans="1:1" x14ac:dyDescent="0.25">
      <c r="A1760" s="12"/>
    </row>
    <row r="1761" spans="1:1" x14ac:dyDescent="0.25">
      <c r="A1761" s="12"/>
    </row>
    <row r="1762" spans="1:1" x14ac:dyDescent="0.25">
      <c r="A1762" s="12"/>
    </row>
    <row r="1763" spans="1:1" x14ac:dyDescent="0.25">
      <c r="A1763" s="12"/>
    </row>
    <row r="1764" spans="1:1" x14ac:dyDescent="0.25">
      <c r="A1764" s="12"/>
    </row>
    <row r="1765" spans="1:1" x14ac:dyDescent="0.25">
      <c r="A1765" s="12"/>
    </row>
    <row r="1766" spans="1:1" x14ac:dyDescent="0.25">
      <c r="A1766" s="12"/>
    </row>
    <row r="1767" spans="1:1" x14ac:dyDescent="0.25">
      <c r="A1767" s="12"/>
    </row>
    <row r="1768" spans="1:1" x14ac:dyDescent="0.25">
      <c r="A1768" s="12"/>
    </row>
    <row r="1769" spans="1:1" x14ac:dyDescent="0.25">
      <c r="A1769" s="12"/>
    </row>
    <row r="1770" spans="1:1" x14ac:dyDescent="0.25">
      <c r="A1770" s="12"/>
    </row>
    <row r="1771" spans="1:1" x14ac:dyDescent="0.25">
      <c r="A1771" s="12"/>
    </row>
    <row r="1772" spans="1:1" x14ac:dyDescent="0.25">
      <c r="A1772" s="12"/>
    </row>
    <row r="1773" spans="1:1" x14ac:dyDescent="0.25">
      <c r="A1773" s="12"/>
    </row>
    <row r="1774" spans="1:1" x14ac:dyDescent="0.25">
      <c r="A1774" s="12"/>
    </row>
    <row r="1775" spans="1:1" x14ac:dyDescent="0.25">
      <c r="A1775" s="12"/>
    </row>
    <row r="1776" spans="1:1" x14ac:dyDescent="0.25">
      <c r="A1776" s="12"/>
    </row>
    <row r="1777" spans="1:1" x14ac:dyDescent="0.25">
      <c r="A1777" s="12"/>
    </row>
    <row r="1778" spans="1:1" x14ac:dyDescent="0.25">
      <c r="A1778" s="12"/>
    </row>
    <row r="1779" spans="1:1" x14ac:dyDescent="0.25">
      <c r="A1779" s="12"/>
    </row>
    <row r="1780" spans="1:1" x14ac:dyDescent="0.25">
      <c r="A1780" s="12"/>
    </row>
    <row r="1781" spans="1:1" x14ac:dyDescent="0.25">
      <c r="A1781" s="12"/>
    </row>
    <row r="1782" spans="1:1" x14ac:dyDescent="0.25">
      <c r="A1782" s="12"/>
    </row>
    <row r="1783" spans="1:1" x14ac:dyDescent="0.25">
      <c r="A1783" s="12"/>
    </row>
    <row r="1784" spans="1:1" x14ac:dyDescent="0.25">
      <c r="A1784" s="12"/>
    </row>
    <row r="1785" spans="1:1" x14ac:dyDescent="0.25">
      <c r="A1785" s="12"/>
    </row>
    <row r="1786" spans="1:1" x14ac:dyDescent="0.25">
      <c r="A1786" s="12"/>
    </row>
    <row r="1787" spans="1:1" x14ac:dyDescent="0.25">
      <c r="A1787" s="12"/>
    </row>
    <row r="1788" spans="1:1" x14ac:dyDescent="0.25">
      <c r="A1788" s="12"/>
    </row>
    <row r="1789" spans="1:1" x14ac:dyDescent="0.25">
      <c r="A1789" s="12"/>
    </row>
    <row r="1790" spans="1:1" x14ac:dyDescent="0.25">
      <c r="A1790" s="12"/>
    </row>
    <row r="1791" spans="1:1" x14ac:dyDescent="0.25">
      <c r="A1791" s="12"/>
    </row>
    <row r="1792" spans="1:1" x14ac:dyDescent="0.25">
      <c r="A1792" s="12"/>
    </row>
    <row r="1793" spans="1:4" x14ac:dyDescent="0.25">
      <c r="A1793" s="12"/>
    </row>
    <row r="1794" spans="1:4" x14ac:dyDescent="0.25">
      <c r="A1794" s="12"/>
    </row>
    <row r="1795" spans="1:4" x14ac:dyDescent="0.25">
      <c r="A1795" s="12"/>
    </row>
    <row r="1796" spans="1:4" x14ac:dyDescent="0.25">
      <c r="A1796" s="12"/>
    </row>
    <row r="1797" spans="1:4" x14ac:dyDescent="0.25">
      <c r="A1797" s="12"/>
    </row>
    <row r="1798" spans="1:4" x14ac:dyDescent="0.25">
      <c r="A1798" s="12"/>
    </row>
    <row r="1799" spans="1:4" x14ac:dyDescent="0.25">
      <c r="A1799" s="12"/>
    </row>
    <row r="1800" spans="1:4" x14ac:dyDescent="0.25">
      <c r="A1800" s="12"/>
    </row>
    <row r="1801" spans="1:4" x14ac:dyDescent="0.25">
      <c r="A1801" s="12"/>
    </row>
    <row r="1802" spans="1:4" x14ac:dyDescent="0.25">
      <c r="A1802" s="12"/>
    </row>
    <row r="1803" spans="1:4" x14ac:dyDescent="0.25">
      <c r="A1803" s="12"/>
    </row>
    <row r="1804" spans="1:4" x14ac:dyDescent="0.25">
      <c r="A1804" s="12"/>
    </row>
    <row r="1805" spans="1:4" x14ac:dyDescent="0.25">
      <c r="A1805" s="13"/>
      <c r="D1805" s="6"/>
    </row>
    <row r="1806" spans="1:4" x14ac:dyDescent="0.25">
      <c r="A1806" s="13"/>
      <c r="D1806" s="6"/>
    </row>
    <row r="1807" spans="1:4" x14ac:dyDescent="0.25">
      <c r="A1807" s="12"/>
    </row>
    <row r="1808" spans="1:4" x14ac:dyDescent="0.25">
      <c r="A1808" s="12"/>
    </row>
    <row r="1809" spans="1:1" x14ac:dyDescent="0.25">
      <c r="A1809" s="12"/>
    </row>
    <row r="1810" spans="1:1" x14ac:dyDescent="0.25">
      <c r="A1810" s="12"/>
    </row>
    <row r="1811" spans="1:1" x14ac:dyDescent="0.25">
      <c r="A1811" s="12"/>
    </row>
    <row r="1812" spans="1:1" x14ac:dyDescent="0.25">
      <c r="A1812" s="12"/>
    </row>
    <row r="1813" spans="1:1" x14ac:dyDescent="0.25">
      <c r="A1813" s="12"/>
    </row>
    <row r="1814" spans="1:1" x14ac:dyDescent="0.25">
      <c r="A1814" s="12"/>
    </row>
    <row r="1815" spans="1:1" x14ac:dyDescent="0.25">
      <c r="A1815" s="12"/>
    </row>
    <row r="1816" spans="1:1" x14ac:dyDescent="0.25">
      <c r="A1816" s="12"/>
    </row>
    <row r="1817" spans="1:1" x14ac:dyDescent="0.25">
      <c r="A1817" s="12"/>
    </row>
    <row r="1818" spans="1:1" x14ac:dyDescent="0.25">
      <c r="A1818" s="12"/>
    </row>
    <row r="1819" spans="1:1" x14ac:dyDescent="0.25">
      <c r="A1819" s="12"/>
    </row>
    <row r="1820" spans="1:1" x14ac:dyDescent="0.25">
      <c r="A1820" s="12"/>
    </row>
    <row r="1821" spans="1:1" x14ac:dyDescent="0.25">
      <c r="A1821" s="12"/>
    </row>
    <row r="1822" spans="1:1" x14ac:dyDescent="0.25">
      <c r="A1822" s="12"/>
    </row>
    <row r="1823" spans="1:1" x14ac:dyDescent="0.25">
      <c r="A1823" s="12"/>
    </row>
    <row r="1824" spans="1:1" x14ac:dyDescent="0.25">
      <c r="A1824" s="12"/>
    </row>
    <row r="1825" spans="1:1" x14ac:dyDescent="0.25">
      <c r="A1825" s="12"/>
    </row>
    <row r="1826" spans="1:1" x14ac:dyDescent="0.25">
      <c r="A1826" s="12"/>
    </row>
    <row r="1827" spans="1:1" x14ac:dyDescent="0.25">
      <c r="A1827" s="12"/>
    </row>
    <row r="1828" spans="1:1" x14ac:dyDescent="0.25">
      <c r="A1828" s="12"/>
    </row>
    <row r="1829" spans="1:1" x14ac:dyDescent="0.25">
      <c r="A1829" s="12"/>
    </row>
    <row r="1830" spans="1:1" x14ac:dyDescent="0.25">
      <c r="A1830" s="12"/>
    </row>
    <row r="1831" spans="1:1" x14ac:dyDescent="0.25">
      <c r="A1831" s="12"/>
    </row>
    <row r="1832" spans="1:1" x14ac:dyDescent="0.25">
      <c r="A1832" s="12"/>
    </row>
    <row r="1833" spans="1:1" x14ac:dyDescent="0.25">
      <c r="A1833" s="12"/>
    </row>
    <row r="1834" spans="1:1" x14ac:dyDescent="0.25">
      <c r="A1834" s="12"/>
    </row>
    <row r="1835" spans="1:1" x14ac:dyDescent="0.25">
      <c r="A1835" s="12"/>
    </row>
    <row r="1836" spans="1:1" x14ac:dyDescent="0.25">
      <c r="A1836" s="12"/>
    </row>
    <row r="1837" spans="1:1" x14ac:dyDescent="0.25">
      <c r="A1837" s="12"/>
    </row>
    <row r="1838" spans="1:1" x14ac:dyDescent="0.25">
      <c r="A1838" s="12"/>
    </row>
    <row r="1839" spans="1:1" x14ac:dyDescent="0.25">
      <c r="A1839" s="12"/>
    </row>
    <row r="1840" spans="1:1" x14ac:dyDescent="0.25">
      <c r="A1840" s="12"/>
    </row>
    <row r="1841" spans="1:1" x14ac:dyDescent="0.25">
      <c r="A1841" s="12"/>
    </row>
    <row r="1842" spans="1:1" x14ac:dyDescent="0.25">
      <c r="A1842" s="12"/>
    </row>
    <row r="1843" spans="1:1" x14ac:dyDescent="0.25">
      <c r="A1843" s="12"/>
    </row>
    <row r="1844" spans="1:1" x14ac:dyDescent="0.25">
      <c r="A1844" s="12"/>
    </row>
    <row r="1845" spans="1:1" x14ac:dyDescent="0.25">
      <c r="A1845" s="12"/>
    </row>
    <row r="1846" spans="1:1" x14ac:dyDescent="0.25">
      <c r="A1846" s="12"/>
    </row>
    <row r="1847" spans="1:1" x14ac:dyDescent="0.25">
      <c r="A1847" s="12"/>
    </row>
    <row r="1848" spans="1:1" x14ac:dyDescent="0.25">
      <c r="A1848" s="12"/>
    </row>
    <row r="1849" spans="1:1" x14ac:dyDescent="0.25">
      <c r="A1849" s="12"/>
    </row>
    <row r="1850" spans="1:1" x14ac:dyDescent="0.25">
      <c r="A1850" s="12"/>
    </row>
    <row r="1851" spans="1:1" x14ac:dyDescent="0.25">
      <c r="A1851" s="12"/>
    </row>
    <row r="1852" spans="1:1" x14ac:dyDescent="0.25">
      <c r="A1852" s="12"/>
    </row>
    <row r="1853" spans="1:1" x14ac:dyDescent="0.25">
      <c r="A1853" s="12"/>
    </row>
    <row r="1854" spans="1:1" x14ac:dyDescent="0.25">
      <c r="A1854" s="12"/>
    </row>
    <row r="1855" spans="1:1" x14ac:dyDescent="0.25">
      <c r="A1855" s="12"/>
    </row>
    <row r="1856" spans="1:1" x14ac:dyDescent="0.25">
      <c r="A1856" s="12"/>
    </row>
    <row r="1857" spans="1:1" x14ac:dyDescent="0.25">
      <c r="A1857" s="12"/>
    </row>
    <row r="1858" spans="1:1" x14ac:dyDescent="0.25">
      <c r="A1858" s="12"/>
    </row>
    <row r="1859" spans="1:1" x14ac:dyDescent="0.25">
      <c r="A1859" s="12"/>
    </row>
    <row r="1860" spans="1:1" x14ac:dyDescent="0.25">
      <c r="A1860" s="12"/>
    </row>
    <row r="1861" spans="1:1" x14ac:dyDescent="0.25">
      <c r="A1861" s="12"/>
    </row>
    <row r="1862" spans="1:1" x14ac:dyDescent="0.25">
      <c r="A1862" s="12"/>
    </row>
    <row r="1863" spans="1:1" x14ac:dyDescent="0.25">
      <c r="A1863" s="12"/>
    </row>
    <row r="1864" spans="1:1" x14ac:dyDescent="0.25">
      <c r="A1864" s="12"/>
    </row>
    <row r="1865" spans="1:1" x14ac:dyDescent="0.25">
      <c r="A1865" s="12"/>
    </row>
    <row r="1866" spans="1:1" x14ac:dyDescent="0.25">
      <c r="A1866" s="12"/>
    </row>
    <row r="1867" spans="1:1" x14ac:dyDescent="0.25">
      <c r="A1867" s="12"/>
    </row>
    <row r="1868" spans="1:1" x14ac:dyDescent="0.25">
      <c r="A1868" s="12"/>
    </row>
    <row r="1869" spans="1:1" x14ac:dyDescent="0.25">
      <c r="A1869" s="12"/>
    </row>
    <row r="1870" spans="1:1" x14ac:dyDescent="0.25">
      <c r="A1870" s="12"/>
    </row>
    <row r="1871" spans="1:1" x14ac:dyDescent="0.25">
      <c r="A1871" s="12"/>
    </row>
    <row r="1872" spans="1:1" x14ac:dyDescent="0.25">
      <c r="A1872" s="12"/>
    </row>
    <row r="1873" spans="1:1" x14ac:dyDescent="0.25">
      <c r="A1873" s="12"/>
    </row>
    <row r="1874" spans="1:1" x14ac:dyDescent="0.25">
      <c r="A1874" s="12"/>
    </row>
    <row r="1875" spans="1:1" x14ac:dyDescent="0.25">
      <c r="A1875" s="12"/>
    </row>
    <row r="1876" spans="1:1" x14ac:dyDescent="0.25">
      <c r="A1876" s="12"/>
    </row>
    <row r="1877" spans="1:1" x14ac:dyDescent="0.25">
      <c r="A1877" s="12"/>
    </row>
    <row r="1878" spans="1:1" x14ac:dyDescent="0.25">
      <c r="A1878" s="12"/>
    </row>
    <row r="1879" spans="1:1" x14ac:dyDescent="0.25">
      <c r="A1879" s="12"/>
    </row>
    <row r="1880" spans="1:1" x14ac:dyDescent="0.25">
      <c r="A1880" s="12"/>
    </row>
    <row r="1881" spans="1:1" x14ac:dyDescent="0.25">
      <c r="A1881" s="12"/>
    </row>
    <row r="1882" spans="1:1" x14ac:dyDescent="0.25">
      <c r="A1882" s="12"/>
    </row>
    <row r="1883" spans="1:1" x14ac:dyDescent="0.25">
      <c r="A1883" s="12"/>
    </row>
    <row r="1884" spans="1:1" x14ac:dyDescent="0.25">
      <c r="A1884" s="12"/>
    </row>
    <row r="1885" spans="1:1" x14ac:dyDescent="0.25">
      <c r="A1885" s="12"/>
    </row>
    <row r="1886" spans="1:1" x14ac:dyDescent="0.25">
      <c r="A1886" s="12"/>
    </row>
    <row r="1887" spans="1:1" x14ac:dyDescent="0.25">
      <c r="A1887" s="12"/>
    </row>
    <row r="1888" spans="1:1" x14ac:dyDescent="0.25">
      <c r="A1888" s="12"/>
    </row>
    <row r="1889" spans="1:1" x14ac:dyDescent="0.25">
      <c r="A1889" s="12"/>
    </row>
    <row r="1890" spans="1:1" x14ac:dyDescent="0.25">
      <c r="A1890" s="12"/>
    </row>
    <row r="1891" spans="1:1" x14ac:dyDescent="0.25">
      <c r="A1891" s="12"/>
    </row>
    <row r="1892" spans="1:1" x14ac:dyDescent="0.25">
      <c r="A1892" s="12"/>
    </row>
    <row r="1893" spans="1:1" x14ac:dyDescent="0.25">
      <c r="A1893" s="12"/>
    </row>
    <row r="1894" spans="1:1" x14ac:dyDescent="0.25">
      <c r="A1894" s="12"/>
    </row>
    <row r="1895" spans="1:1" x14ac:dyDescent="0.25">
      <c r="A1895" s="12"/>
    </row>
    <row r="1896" spans="1:1" x14ac:dyDescent="0.25">
      <c r="A1896" s="12"/>
    </row>
    <row r="1897" spans="1:1" x14ac:dyDescent="0.25">
      <c r="A1897" s="12"/>
    </row>
    <row r="1898" spans="1:1" x14ac:dyDescent="0.25">
      <c r="A1898" s="12"/>
    </row>
    <row r="1899" spans="1:1" x14ac:dyDescent="0.25">
      <c r="A1899" s="12"/>
    </row>
    <row r="1900" spans="1:1" x14ac:dyDescent="0.25">
      <c r="A1900" s="12"/>
    </row>
    <row r="1901" spans="1:1" x14ac:dyDescent="0.25">
      <c r="A1901" s="12"/>
    </row>
    <row r="1902" spans="1:1" x14ac:dyDescent="0.25">
      <c r="A1902" s="12"/>
    </row>
    <row r="1903" spans="1:1" x14ac:dyDescent="0.25">
      <c r="A1903" s="12"/>
    </row>
    <row r="1904" spans="1:1" x14ac:dyDescent="0.25">
      <c r="A1904" s="12"/>
    </row>
    <row r="1905" spans="1:1" x14ac:dyDescent="0.25">
      <c r="A1905" s="12"/>
    </row>
    <row r="1906" spans="1:1" x14ac:dyDescent="0.25">
      <c r="A1906" s="12"/>
    </row>
    <row r="1907" spans="1:1" x14ac:dyDescent="0.25">
      <c r="A1907" s="12"/>
    </row>
    <row r="1908" spans="1:1" x14ac:dyDescent="0.25">
      <c r="A1908" s="12"/>
    </row>
    <row r="1909" spans="1:1" x14ac:dyDescent="0.25">
      <c r="A1909" s="12"/>
    </row>
    <row r="1910" spans="1:1" x14ac:dyDescent="0.25">
      <c r="A1910" s="12"/>
    </row>
    <row r="1911" spans="1:1" x14ac:dyDescent="0.25">
      <c r="A1911" s="12"/>
    </row>
    <row r="1912" spans="1:1" x14ac:dyDescent="0.25">
      <c r="A1912" s="12"/>
    </row>
    <row r="1913" spans="1:1" x14ac:dyDescent="0.25">
      <c r="A1913" s="12"/>
    </row>
    <row r="1914" spans="1:1" x14ac:dyDescent="0.25">
      <c r="A1914" s="12"/>
    </row>
    <row r="1915" spans="1:1" x14ac:dyDescent="0.25">
      <c r="A1915" s="12"/>
    </row>
    <row r="1916" spans="1:1" x14ac:dyDescent="0.25">
      <c r="A1916" s="12"/>
    </row>
    <row r="1917" spans="1:1" x14ac:dyDescent="0.25">
      <c r="A1917" s="12"/>
    </row>
    <row r="1918" spans="1:1" x14ac:dyDescent="0.25">
      <c r="A1918" s="12"/>
    </row>
    <row r="1919" spans="1:1" x14ac:dyDescent="0.25">
      <c r="A1919" s="12"/>
    </row>
    <row r="1920" spans="1:1" x14ac:dyDescent="0.25">
      <c r="A1920" s="12"/>
    </row>
    <row r="1921" spans="1:1" x14ac:dyDescent="0.25">
      <c r="A1921" s="12"/>
    </row>
    <row r="1922" spans="1:1" x14ac:dyDescent="0.25">
      <c r="A1922" s="12"/>
    </row>
    <row r="1923" spans="1:1" x14ac:dyDescent="0.25">
      <c r="A1923" s="12"/>
    </row>
    <row r="1924" spans="1:1" x14ac:dyDescent="0.25">
      <c r="A1924" s="12"/>
    </row>
    <row r="1925" spans="1:1" x14ac:dyDescent="0.25">
      <c r="A1925" s="12"/>
    </row>
    <row r="1926" spans="1:1" x14ac:dyDescent="0.25">
      <c r="A1926" s="12"/>
    </row>
    <row r="1927" spans="1:1" x14ac:dyDescent="0.25">
      <c r="A1927" s="12"/>
    </row>
    <row r="1928" spans="1:1" x14ac:dyDescent="0.25">
      <c r="A1928" s="12"/>
    </row>
    <row r="1929" spans="1:1" x14ac:dyDescent="0.25">
      <c r="A1929" s="12"/>
    </row>
    <row r="1930" spans="1:1" x14ac:dyDescent="0.25">
      <c r="A1930" s="12"/>
    </row>
    <row r="1931" spans="1:1" x14ac:dyDescent="0.25">
      <c r="A1931" s="12"/>
    </row>
    <row r="1932" spans="1:1" x14ac:dyDescent="0.25">
      <c r="A1932" s="12"/>
    </row>
    <row r="1933" spans="1:1" x14ac:dyDescent="0.25">
      <c r="A1933" s="12"/>
    </row>
    <row r="1934" spans="1:1" x14ac:dyDescent="0.25">
      <c r="A1934" s="12"/>
    </row>
    <row r="1935" spans="1:1" x14ac:dyDescent="0.25">
      <c r="A1935" s="12"/>
    </row>
    <row r="1936" spans="1:1" x14ac:dyDescent="0.25">
      <c r="A1936" s="12"/>
    </row>
    <row r="1937" spans="1:1" x14ac:dyDescent="0.25">
      <c r="A1937" s="12"/>
    </row>
    <row r="1938" spans="1:1" x14ac:dyDescent="0.25">
      <c r="A1938" s="12"/>
    </row>
    <row r="1939" spans="1:1" x14ac:dyDescent="0.25">
      <c r="A1939" s="12"/>
    </row>
    <row r="1940" spans="1:1" x14ac:dyDescent="0.25">
      <c r="A1940" s="12"/>
    </row>
    <row r="1941" spans="1:1" x14ac:dyDescent="0.25">
      <c r="A1941" s="12"/>
    </row>
    <row r="1942" spans="1:1" x14ac:dyDescent="0.25">
      <c r="A1942" s="12"/>
    </row>
    <row r="1943" spans="1:1" x14ac:dyDescent="0.25">
      <c r="A1943" s="12"/>
    </row>
    <row r="1944" spans="1:1" x14ac:dyDescent="0.25">
      <c r="A1944" s="12"/>
    </row>
    <row r="1945" spans="1:1" x14ac:dyDescent="0.25">
      <c r="A1945" s="12"/>
    </row>
    <row r="1946" spans="1:1" x14ac:dyDescent="0.25">
      <c r="A1946" s="12"/>
    </row>
    <row r="1947" spans="1:1" x14ac:dyDescent="0.25">
      <c r="A1947" s="12"/>
    </row>
    <row r="1948" spans="1:1" x14ac:dyDescent="0.25">
      <c r="A1948" s="12"/>
    </row>
    <row r="1949" spans="1:1" x14ac:dyDescent="0.25">
      <c r="A1949" s="12"/>
    </row>
    <row r="1950" spans="1:1" x14ac:dyDescent="0.25">
      <c r="A1950" s="12"/>
    </row>
    <row r="1951" spans="1:1" x14ac:dyDescent="0.25">
      <c r="A1951" s="12"/>
    </row>
    <row r="1952" spans="1:1" x14ac:dyDescent="0.25">
      <c r="A1952" s="12"/>
    </row>
    <row r="1953" spans="1:1" x14ac:dyDescent="0.25">
      <c r="A1953" s="12"/>
    </row>
    <row r="1954" spans="1:1" x14ac:dyDescent="0.25">
      <c r="A1954" s="12"/>
    </row>
    <row r="1955" spans="1:1" x14ac:dyDescent="0.25">
      <c r="A1955" s="12"/>
    </row>
    <row r="1956" spans="1:1" x14ac:dyDescent="0.25">
      <c r="A1956" s="12"/>
    </row>
    <row r="1957" spans="1:1" x14ac:dyDescent="0.25">
      <c r="A1957" s="12"/>
    </row>
    <row r="1958" spans="1:1" x14ac:dyDescent="0.25">
      <c r="A1958" s="12"/>
    </row>
    <row r="1959" spans="1:1" x14ac:dyDescent="0.25">
      <c r="A1959" s="12"/>
    </row>
    <row r="1960" spans="1:1" x14ac:dyDescent="0.25">
      <c r="A1960" s="12"/>
    </row>
    <row r="1961" spans="1:1" x14ac:dyDescent="0.25">
      <c r="A1961" s="12"/>
    </row>
    <row r="1962" spans="1:1" x14ac:dyDescent="0.25">
      <c r="A1962" s="12"/>
    </row>
    <row r="1963" spans="1:1" x14ac:dyDescent="0.25">
      <c r="A1963" s="12"/>
    </row>
    <row r="1964" spans="1:1" x14ac:dyDescent="0.25">
      <c r="A1964" s="12"/>
    </row>
    <row r="1965" spans="1:1" x14ac:dyDescent="0.25">
      <c r="A1965" s="12"/>
    </row>
    <row r="1966" spans="1:1" x14ac:dyDescent="0.25">
      <c r="A1966" s="12"/>
    </row>
    <row r="1967" spans="1:1" x14ac:dyDescent="0.25">
      <c r="A1967" s="12"/>
    </row>
    <row r="1968" spans="1:1" x14ac:dyDescent="0.25">
      <c r="A1968" s="12"/>
    </row>
    <row r="1969" spans="1:1" x14ac:dyDescent="0.25">
      <c r="A1969" s="12"/>
    </row>
    <row r="1970" spans="1:1" x14ac:dyDescent="0.25">
      <c r="A1970" s="12"/>
    </row>
    <row r="1971" spans="1:1" x14ac:dyDescent="0.25">
      <c r="A1971" s="12"/>
    </row>
    <row r="1972" spans="1:1" x14ac:dyDescent="0.25">
      <c r="A1972" s="12"/>
    </row>
    <row r="1973" spans="1:1" x14ac:dyDescent="0.25">
      <c r="A1973" s="12"/>
    </row>
    <row r="1974" spans="1:1" x14ac:dyDescent="0.25">
      <c r="A1974" s="12"/>
    </row>
    <row r="1975" spans="1:1" x14ac:dyDescent="0.25">
      <c r="A1975" s="12"/>
    </row>
    <row r="1976" spans="1:1" x14ac:dyDescent="0.25">
      <c r="A1976" s="12"/>
    </row>
    <row r="1977" spans="1:1" x14ac:dyDescent="0.25">
      <c r="A1977" s="12"/>
    </row>
    <row r="1978" spans="1:1" x14ac:dyDescent="0.25">
      <c r="A1978" s="12"/>
    </row>
    <row r="1979" spans="1:1" x14ac:dyDescent="0.25">
      <c r="A1979" s="12"/>
    </row>
    <row r="1980" spans="1:1" x14ac:dyDescent="0.25">
      <c r="A1980" s="12"/>
    </row>
    <row r="1981" spans="1:1" x14ac:dyDescent="0.25">
      <c r="A1981" s="12"/>
    </row>
    <row r="1982" spans="1:1" x14ac:dyDescent="0.25">
      <c r="A1982" s="12"/>
    </row>
    <row r="1983" spans="1:1" x14ac:dyDescent="0.25">
      <c r="A1983" s="12"/>
    </row>
    <row r="1984" spans="1:1" x14ac:dyDescent="0.25">
      <c r="A1984" s="12"/>
    </row>
    <row r="1985" spans="1:1" x14ac:dyDescent="0.25">
      <c r="A1985" s="12"/>
    </row>
    <row r="1986" spans="1:1" x14ac:dyDescent="0.25">
      <c r="A1986" s="12"/>
    </row>
    <row r="1987" spans="1:1" x14ac:dyDescent="0.25">
      <c r="A1987" s="12"/>
    </row>
    <row r="1988" spans="1:1" x14ac:dyDescent="0.25">
      <c r="A1988" s="12"/>
    </row>
    <row r="1989" spans="1:1" x14ac:dyDescent="0.25">
      <c r="A1989" s="13"/>
    </row>
    <row r="1990" spans="1:1" x14ac:dyDescent="0.25">
      <c r="A1990" s="13"/>
    </row>
    <row r="1991" spans="1:1" x14ac:dyDescent="0.25">
      <c r="A1991" s="13"/>
    </row>
    <row r="1992" spans="1:1" x14ac:dyDescent="0.25">
      <c r="A1992" s="12"/>
    </row>
    <row r="1993" spans="1:1" x14ac:dyDescent="0.25">
      <c r="A1993" s="12"/>
    </row>
    <row r="1994" spans="1:1" x14ac:dyDescent="0.25">
      <c r="A1994" s="12"/>
    </row>
    <row r="1995" spans="1:1" x14ac:dyDescent="0.25">
      <c r="A1995" s="12"/>
    </row>
    <row r="1996" spans="1:1" x14ac:dyDescent="0.25">
      <c r="A1996" s="12"/>
    </row>
    <row r="1997" spans="1:1" x14ac:dyDescent="0.25">
      <c r="A1997" s="12"/>
    </row>
    <row r="1998" spans="1:1" x14ac:dyDescent="0.25">
      <c r="A1998" s="12"/>
    </row>
    <row r="1999" spans="1:1" x14ac:dyDescent="0.25">
      <c r="A1999" s="12"/>
    </row>
    <row r="2000" spans="1:1" x14ac:dyDescent="0.25">
      <c r="A2000" s="12"/>
    </row>
    <row r="2001" spans="1:1" x14ac:dyDescent="0.25">
      <c r="A2001" s="12"/>
    </row>
    <row r="2002" spans="1:1" x14ac:dyDescent="0.25">
      <c r="A2002" s="12"/>
    </row>
    <row r="2003" spans="1:1" x14ac:dyDescent="0.25">
      <c r="A2003" s="12"/>
    </row>
    <row r="2004" spans="1:1" x14ac:dyDescent="0.25">
      <c r="A2004" s="12"/>
    </row>
    <row r="2005" spans="1:1" x14ac:dyDescent="0.25">
      <c r="A2005" s="12"/>
    </row>
    <row r="2006" spans="1:1" x14ac:dyDescent="0.25">
      <c r="A2006" s="12"/>
    </row>
    <row r="2007" spans="1:1" x14ac:dyDescent="0.25">
      <c r="A2007" s="12"/>
    </row>
    <row r="2008" spans="1:1" x14ac:dyDescent="0.25">
      <c r="A2008" s="12"/>
    </row>
    <row r="2009" spans="1:1" x14ac:dyDescent="0.25">
      <c r="A2009" s="12"/>
    </row>
    <row r="2010" spans="1:1" x14ac:dyDescent="0.25">
      <c r="A2010" s="12"/>
    </row>
    <row r="2011" spans="1:1" x14ac:dyDescent="0.25">
      <c r="A2011" s="12"/>
    </row>
    <row r="2012" spans="1:1" x14ac:dyDescent="0.25">
      <c r="A2012" s="12"/>
    </row>
    <row r="2013" spans="1:1" x14ac:dyDescent="0.25">
      <c r="A2013" s="12"/>
    </row>
    <row r="2014" spans="1:1" x14ac:dyDescent="0.25">
      <c r="A2014" s="12"/>
    </row>
    <row r="2015" spans="1:1" x14ac:dyDescent="0.25">
      <c r="A2015" s="12"/>
    </row>
    <row r="2016" spans="1:1" x14ac:dyDescent="0.25">
      <c r="A2016" s="12"/>
    </row>
    <row r="2017" spans="1:1" x14ac:dyDescent="0.25">
      <c r="A2017" s="12"/>
    </row>
    <row r="2018" spans="1:1" x14ac:dyDescent="0.25">
      <c r="A2018" s="12"/>
    </row>
    <row r="2019" spans="1:1" x14ac:dyDescent="0.25">
      <c r="A2019" s="12"/>
    </row>
    <row r="2020" spans="1:1" x14ac:dyDescent="0.25">
      <c r="A2020" s="12"/>
    </row>
    <row r="2021" spans="1:1" x14ac:dyDescent="0.25">
      <c r="A2021" s="12"/>
    </row>
    <row r="2022" spans="1:1" x14ac:dyDescent="0.25">
      <c r="A2022" s="12"/>
    </row>
    <row r="2023" spans="1:1" x14ac:dyDescent="0.25">
      <c r="A2023" s="12"/>
    </row>
    <row r="2024" spans="1:1" x14ac:dyDescent="0.25">
      <c r="A2024" s="12"/>
    </row>
    <row r="2025" spans="1:1" x14ac:dyDescent="0.25">
      <c r="A2025" s="12"/>
    </row>
    <row r="2026" spans="1:1" x14ac:dyDescent="0.25">
      <c r="A2026" s="12"/>
    </row>
    <row r="2027" spans="1:1" x14ac:dyDescent="0.25">
      <c r="A2027" s="12"/>
    </row>
    <row r="2028" spans="1:1" x14ac:dyDescent="0.25">
      <c r="A2028" s="12"/>
    </row>
    <row r="2029" spans="1:1" x14ac:dyDescent="0.25">
      <c r="A2029" s="12"/>
    </row>
    <row r="2030" spans="1:1" x14ac:dyDescent="0.25">
      <c r="A2030" s="12"/>
    </row>
    <row r="2031" spans="1:1" x14ac:dyDescent="0.25">
      <c r="A2031" s="12"/>
    </row>
    <row r="2032" spans="1:1" x14ac:dyDescent="0.25">
      <c r="A2032" s="12"/>
    </row>
    <row r="2033" spans="1:1" x14ac:dyDescent="0.25">
      <c r="A2033" s="12"/>
    </row>
    <row r="2034" spans="1:1" x14ac:dyDescent="0.25">
      <c r="A2034" s="12"/>
    </row>
    <row r="2035" spans="1:1" x14ac:dyDescent="0.25">
      <c r="A2035" s="12"/>
    </row>
    <row r="2036" spans="1:1" x14ac:dyDescent="0.25">
      <c r="A2036" s="12"/>
    </row>
    <row r="2037" spans="1:1" x14ac:dyDescent="0.25">
      <c r="A2037" s="12"/>
    </row>
    <row r="2038" spans="1:1" x14ac:dyDescent="0.25">
      <c r="A2038" s="12"/>
    </row>
    <row r="2039" spans="1:1" x14ac:dyDescent="0.25">
      <c r="A2039" s="12"/>
    </row>
    <row r="2040" spans="1:1" x14ac:dyDescent="0.25">
      <c r="A2040" s="12"/>
    </row>
    <row r="2041" spans="1:1" x14ac:dyDescent="0.25">
      <c r="A2041" s="12"/>
    </row>
    <row r="2042" spans="1:1" x14ac:dyDescent="0.25">
      <c r="A2042" s="12"/>
    </row>
    <row r="2043" spans="1:1" x14ac:dyDescent="0.25">
      <c r="A2043" s="12"/>
    </row>
    <row r="2044" spans="1:1" x14ac:dyDescent="0.25">
      <c r="A2044" s="12"/>
    </row>
    <row r="2045" spans="1:1" x14ac:dyDescent="0.25">
      <c r="A2045" s="12"/>
    </row>
    <row r="2046" spans="1:1" x14ac:dyDescent="0.25">
      <c r="A2046" s="12"/>
    </row>
    <row r="2047" spans="1:1" x14ac:dyDescent="0.25">
      <c r="A2047" s="12"/>
    </row>
    <row r="2048" spans="1:1" x14ac:dyDescent="0.25">
      <c r="A2048" s="12"/>
    </row>
    <row r="2049" spans="1:1" x14ac:dyDescent="0.25">
      <c r="A2049" s="12"/>
    </row>
    <row r="2050" spans="1:1" x14ac:dyDescent="0.25">
      <c r="A2050" s="12"/>
    </row>
    <row r="2051" spans="1:1" x14ac:dyDescent="0.25">
      <c r="A2051" s="12"/>
    </row>
    <row r="2052" spans="1:1" x14ac:dyDescent="0.25">
      <c r="A2052" s="12"/>
    </row>
    <row r="2053" spans="1:1" x14ac:dyDescent="0.25">
      <c r="A2053" s="12"/>
    </row>
    <row r="2054" spans="1:1" x14ac:dyDescent="0.25">
      <c r="A2054" s="12"/>
    </row>
    <row r="2055" spans="1:1" x14ac:dyDescent="0.25">
      <c r="A2055" s="12"/>
    </row>
    <row r="2056" spans="1:1" x14ac:dyDescent="0.25">
      <c r="A2056" s="12"/>
    </row>
    <row r="2057" spans="1:1" x14ac:dyDescent="0.25">
      <c r="A2057" s="12"/>
    </row>
    <row r="2058" spans="1:1" x14ac:dyDescent="0.25">
      <c r="A2058" s="12"/>
    </row>
    <row r="2059" spans="1:1" x14ac:dyDescent="0.25">
      <c r="A2059" s="12"/>
    </row>
    <row r="2060" spans="1:1" x14ac:dyDescent="0.25">
      <c r="A2060" s="12"/>
    </row>
    <row r="2061" spans="1:1" x14ac:dyDescent="0.25">
      <c r="A2061" s="12"/>
    </row>
    <row r="2062" spans="1:1" x14ac:dyDescent="0.25">
      <c r="A2062" s="12"/>
    </row>
    <row r="2063" spans="1:1" x14ac:dyDescent="0.25">
      <c r="A2063" s="12"/>
    </row>
    <row r="2064" spans="1:1" x14ac:dyDescent="0.25">
      <c r="A2064" s="12"/>
    </row>
    <row r="2065" spans="1:1" x14ac:dyDescent="0.25">
      <c r="A2065" s="12"/>
    </row>
    <row r="2066" spans="1:1" x14ac:dyDescent="0.25">
      <c r="A2066" s="12"/>
    </row>
    <row r="2067" spans="1:1" x14ac:dyDescent="0.25">
      <c r="A2067" s="12"/>
    </row>
    <row r="2068" spans="1:1" x14ac:dyDescent="0.25">
      <c r="A2068" s="12"/>
    </row>
    <row r="2069" spans="1:1" x14ac:dyDescent="0.25">
      <c r="A2069" s="12"/>
    </row>
    <row r="2070" spans="1:1" x14ac:dyDescent="0.25">
      <c r="A2070" s="12"/>
    </row>
    <row r="2071" spans="1:1" x14ac:dyDescent="0.25">
      <c r="A2071" s="12"/>
    </row>
    <row r="2072" spans="1:1" x14ac:dyDescent="0.25">
      <c r="A2072" s="12"/>
    </row>
    <row r="2073" spans="1:1" x14ac:dyDescent="0.25">
      <c r="A2073" s="12"/>
    </row>
    <row r="2074" spans="1:1" x14ac:dyDescent="0.25">
      <c r="A2074" s="12"/>
    </row>
    <row r="2075" spans="1:1" x14ac:dyDescent="0.25">
      <c r="A2075" s="12"/>
    </row>
    <row r="2076" spans="1:1" x14ac:dyDescent="0.25">
      <c r="A2076" s="12"/>
    </row>
    <row r="2077" spans="1:1" x14ac:dyDescent="0.25">
      <c r="A2077" s="12"/>
    </row>
    <row r="2078" spans="1:1" x14ac:dyDescent="0.25">
      <c r="A2078" s="12"/>
    </row>
    <row r="2079" spans="1:1" x14ac:dyDescent="0.25">
      <c r="A2079" s="12"/>
    </row>
    <row r="2080" spans="1:1" x14ac:dyDescent="0.25">
      <c r="A2080" s="12"/>
    </row>
    <row r="2081" spans="1:1" x14ac:dyDescent="0.25">
      <c r="A2081" s="12"/>
    </row>
    <row r="2082" spans="1:1" x14ac:dyDescent="0.25">
      <c r="A2082" s="12"/>
    </row>
    <row r="2083" spans="1:1" x14ac:dyDescent="0.25">
      <c r="A2083" s="12"/>
    </row>
    <row r="2084" spans="1:1" x14ac:dyDescent="0.25">
      <c r="A2084" s="12"/>
    </row>
    <row r="2085" spans="1:1" x14ac:dyDescent="0.25">
      <c r="A2085" s="12"/>
    </row>
    <row r="2086" spans="1:1" x14ac:dyDescent="0.25">
      <c r="A2086" s="12"/>
    </row>
    <row r="2087" spans="1:1" x14ac:dyDescent="0.25">
      <c r="A2087" s="12"/>
    </row>
    <row r="2088" spans="1:1" x14ac:dyDescent="0.25">
      <c r="A2088" s="12"/>
    </row>
    <row r="2089" spans="1:1" x14ac:dyDescent="0.25">
      <c r="A2089" s="12"/>
    </row>
    <row r="2090" spans="1:1" x14ac:dyDescent="0.25">
      <c r="A2090" s="12"/>
    </row>
    <row r="2091" spans="1:1" x14ac:dyDescent="0.25">
      <c r="A2091" s="12"/>
    </row>
    <row r="2092" spans="1:1" x14ac:dyDescent="0.25">
      <c r="A2092" s="12"/>
    </row>
    <row r="2093" spans="1:1" x14ac:dyDescent="0.25">
      <c r="A2093" s="12"/>
    </row>
    <row r="2094" spans="1:1" x14ac:dyDescent="0.25">
      <c r="A2094" s="12"/>
    </row>
    <row r="2095" spans="1:1" x14ac:dyDescent="0.25">
      <c r="A2095" s="12"/>
    </row>
    <row r="2096" spans="1:1" x14ac:dyDescent="0.25">
      <c r="A2096" s="12"/>
    </row>
    <row r="2097" spans="1:1" x14ac:dyDescent="0.25">
      <c r="A2097" s="12"/>
    </row>
    <row r="2098" spans="1:1" x14ac:dyDescent="0.25">
      <c r="A2098" s="12"/>
    </row>
    <row r="2099" spans="1:1" x14ac:dyDescent="0.25">
      <c r="A2099" s="12"/>
    </row>
    <row r="2100" spans="1:1" x14ac:dyDescent="0.25">
      <c r="A2100" s="12"/>
    </row>
    <row r="2101" spans="1:1" x14ac:dyDescent="0.25">
      <c r="A2101" s="12"/>
    </row>
    <row r="2102" spans="1:1" x14ac:dyDescent="0.25">
      <c r="A2102" s="12"/>
    </row>
    <row r="2103" spans="1:1" x14ac:dyDescent="0.25">
      <c r="A2103" s="12"/>
    </row>
    <row r="2104" spans="1:1" x14ac:dyDescent="0.25">
      <c r="A2104" s="12"/>
    </row>
    <row r="2105" spans="1:1" x14ac:dyDescent="0.25">
      <c r="A2105" s="12"/>
    </row>
    <row r="2106" spans="1:1" x14ac:dyDescent="0.25">
      <c r="A2106" s="12"/>
    </row>
    <row r="2107" spans="1:1" x14ac:dyDescent="0.25">
      <c r="A2107" s="12"/>
    </row>
    <row r="2108" spans="1:1" x14ac:dyDescent="0.25">
      <c r="A2108" s="12"/>
    </row>
    <row r="2109" spans="1:1" x14ac:dyDescent="0.25">
      <c r="A2109" s="12"/>
    </row>
    <row r="2110" spans="1:1" x14ac:dyDescent="0.25">
      <c r="A2110" s="12"/>
    </row>
    <row r="2111" spans="1:1" x14ac:dyDescent="0.25">
      <c r="A2111" s="12"/>
    </row>
    <row r="2112" spans="1:1" x14ac:dyDescent="0.25">
      <c r="A2112" s="12"/>
    </row>
    <row r="2113" spans="1:1" x14ac:dyDescent="0.25">
      <c r="A2113" s="12"/>
    </row>
    <row r="2114" spans="1:1" x14ac:dyDescent="0.25">
      <c r="A2114" s="12"/>
    </row>
    <row r="2115" spans="1:1" x14ac:dyDescent="0.25">
      <c r="A2115" s="12"/>
    </row>
    <row r="2116" spans="1:1" x14ac:dyDescent="0.25">
      <c r="A2116" s="12"/>
    </row>
    <row r="2117" spans="1:1" x14ac:dyDescent="0.25">
      <c r="A2117" s="12"/>
    </row>
    <row r="2118" spans="1:1" x14ac:dyDescent="0.25">
      <c r="A2118" s="12"/>
    </row>
    <row r="2119" spans="1:1" x14ac:dyDescent="0.25">
      <c r="A2119" s="12"/>
    </row>
    <row r="2120" spans="1:1" x14ac:dyDescent="0.25">
      <c r="A2120" s="12"/>
    </row>
    <row r="2121" spans="1:1" x14ac:dyDescent="0.25">
      <c r="A2121" s="12"/>
    </row>
    <row r="2122" spans="1:1" x14ac:dyDescent="0.25">
      <c r="A2122" s="12"/>
    </row>
    <row r="2123" spans="1:1" x14ac:dyDescent="0.25">
      <c r="A2123" s="12"/>
    </row>
    <row r="2124" spans="1:1" x14ac:dyDescent="0.25">
      <c r="A2124" s="12"/>
    </row>
    <row r="2125" spans="1:1" x14ac:dyDescent="0.25">
      <c r="A2125" s="12"/>
    </row>
    <row r="2126" spans="1:1" x14ac:dyDescent="0.25">
      <c r="A2126" s="12"/>
    </row>
    <row r="2127" spans="1:1" x14ac:dyDescent="0.25">
      <c r="A2127" s="12"/>
    </row>
    <row r="2128" spans="1:1" x14ac:dyDescent="0.25">
      <c r="A2128" s="12"/>
    </row>
    <row r="2129" spans="1:1" x14ac:dyDescent="0.25">
      <c r="A2129" s="12"/>
    </row>
    <row r="2130" spans="1:1" x14ac:dyDescent="0.25">
      <c r="A2130" s="12"/>
    </row>
    <row r="2131" spans="1:1" x14ac:dyDescent="0.25">
      <c r="A2131" s="12"/>
    </row>
    <row r="2132" spans="1:1" x14ac:dyDescent="0.25">
      <c r="A2132" s="12"/>
    </row>
    <row r="2133" spans="1:1" x14ac:dyDescent="0.25">
      <c r="A2133" s="12"/>
    </row>
    <row r="2134" spans="1:1" x14ac:dyDescent="0.25">
      <c r="A2134" s="12"/>
    </row>
    <row r="2135" spans="1:1" x14ac:dyDescent="0.25">
      <c r="A2135" s="12"/>
    </row>
    <row r="2136" spans="1:1" x14ac:dyDescent="0.25">
      <c r="A2136" s="12"/>
    </row>
    <row r="2137" spans="1:1" x14ac:dyDescent="0.25">
      <c r="A2137" s="12"/>
    </row>
    <row r="2138" spans="1:1" x14ac:dyDescent="0.25">
      <c r="A2138" s="12"/>
    </row>
    <row r="2139" spans="1:1" x14ac:dyDescent="0.25">
      <c r="A2139" s="12"/>
    </row>
    <row r="2140" spans="1:1" x14ac:dyDescent="0.25">
      <c r="A2140" s="12"/>
    </row>
    <row r="2141" spans="1:1" x14ac:dyDescent="0.25">
      <c r="A2141" s="12"/>
    </row>
    <row r="2142" spans="1:1" x14ac:dyDescent="0.25">
      <c r="A2142" s="12"/>
    </row>
    <row r="2143" spans="1:1" x14ac:dyDescent="0.25">
      <c r="A2143" s="12"/>
    </row>
    <row r="2144" spans="1:1" x14ac:dyDescent="0.25">
      <c r="A2144" s="12"/>
    </row>
    <row r="2145" spans="1:1" x14ac:dyDescent="0.25">
      <c r="A2145" s="12"/>
    </row>
    <row r="2146" spans="1:1" x14ac:dyDescent="0.25">
      <c r="A2146" s="12"/>
    </row>
    <row r="2147" spans="1:1" x14ac:dyDescent="0.25">
      <c r="A2147" s="12"/>
    </row>
    <row r="2148" spans="1:1" x14ac:dyDescent="0.25">
      <c r="A2148" s="12"/>
    </row>
    <row r="2149" spans="1:1" x14ac:dyDescent="0.25">
      <c r="A2149" s="12"/>
    </row>
    <row r="2150" spans="1:1" x14ac:dyDescent="0.25">
      <c r="A2150" s="12"/>
    </row>
    <row r="2151" spans="1:1" x14ac:dyDescent="0.25">
      <c r="A2151" s="12"/>
    </row>
    <row r="2152" spans="1:1" x14ac:dyDescent="0.25">
      <c r="A2152" s="12"/>
    </row>
    <row r="2153" spans="1:1" x14ac:dyDescent="0.25">
      <c r="A2153" s="12"/>
    </row>
    <row r="2154" spans="1:1" x14ac:dyDescent="0.25">
      <c r="A2154" s="12"/>
    </row>
    <row r="2155" spans="1:1" x14ac:dyDescent="0.25">
      <c r="A2155" s="12"/>
    </row>
    <row r="2156" spans="1:1" x14ac:dyDescent="0.25">
      <c r="A2156" s="12"/>
    </row>
    <row r="2157" spans="1:1" x14ac:dyDescent="0.25">
      <c r="A2157" s="12"/>
    </row>
    <row r="2158" spans="1:1" x14ac:dyDescent="0.25">
      <c r="A2158" s="12"/>
    </row>
    <row r="2159" spans="1:1" x14ac:dyDescent="0.25">
      <c r="A2159" s="12"/>
    </row>
    <row r="2160" spans="1:1" x14ac:dyDescent="0.25">
      <c r="A2160" s="12"/>
    </row>
    <row r="2161" spans="1:1" x14ac:dyDescent="0.25">
      <c r="A2161" s="12"/>
    </row>
    <row r="2162" spans="1:1" x14ac:dyDescent="0.25">
      <c r="A2162" s="12"/>
    </row>
    <row r="2163" spans="1:1" x14ac:dyDescent="0.25">
      <c r="A2163" s="12"/>
    </row>
    <row r="2164" spans="1:1" x14ac:dyDescent="0.25">
      <c r="A2164" s="12"/>
    </row>
    <row r="2165" spans="1:1" x14ac:dyDescent="0.25">
      <c r="A2165" s="12"/>
    </row>
    <row r="2166" spans="1:1" x14ac:dyDescent="0.25">
      <c r="A2166" s="12"/>
    </row>
    <row r="2167" spans="1:1" x14ac:dyDescent="0.25">
      <c r="A2167" s="12"/>
    </row>
    <row r="2168" spans="1:1" x14ac:dyDescent="0.25">
      <c r="A2168" s="12"/>
    </row>
    <row r="2169" spans="1:1" x14ac:dyDescent="0.25">
      <c r="A2169" s="12"/>
    </row>
    <row r="2170" spans="1:1" x14ac:dyDescent="0.25">
      <c r="A2170" s="12"/>
    </row>
    <row r="2171" spans="1:1" x14ac:dyDescent="0.25">
      <c r="A2171" s="12"/>
    </row>
    <row r="2172" spans="1:1" x14ac:dyDescent="0.25">
      <c r="A2172" s="12"/>
    </row>
    <row r="2173" spans="1:1" x14ac:dyDescent="0.25">
      <c r="A2173" s="12"/>
    </row>
    <row r="2174" spans="1:1" x14ac:dyDescent="0.25">
      <c r="A2174" s="12"/>
    </row>
    <row r="2175" spans="1:1" x14ac:dyDescent="0.25">
      <c r="A2175" s="12"/>
    </row>
    <row r="2176" spans="1:1" x14ac:dyDescent="0.25">
      <c r="A2176" s="12"/>
    </row>
    <row r="2177" spans="1:1" x14ac:dyDescent="0.25">
      <c r="A2177" s="12"/>
    </row>
    <row r="2178" spans="1:1" x14ac:dyDescent="0.25">
      <c r="A2178" s="12"/>
    </row>
    <row r="2179" spans="1:1" x14ac:dyDescent="0.25">
      <c r="A2179" s="12"/>
    </row>
    <row r="2180" spans="1:1" x14ac:dyDescent="0.25">
      <c r="A2180" s="12"/>
    </row>
    <row r="2181" spans="1:1" x14ac:dyDescent="0.25">
      <c r="A2181" s="12"/>
    </row>
    <row r="2182" spans="1:1" x14ac:dyDescent="0.25">
      <c r="A2182" s="12"/>
    </row>
    <row r="2183" spans="1:1" x14ac:dyDescent="0.25">
      <c r="A2183" s="12"/>
    </row>
    <row r="2184" spans="1:1" x14ac:dyDescent="0.25">
      <c r="A2184" s="12"/>
    </row>
    <row r="2185" spans="1:1" x14ac:dyDescent="0.25">
      <c r="A2185" s="12"/>
    </row>
    <row r="2186" spans="1:1" x14ac:dyDescent="0.25">
      <c r="A2186" s="12"/>
    </row>
    <row r="2187" spans="1:1" x14ac:dyDescent="0.25">
      <c r="A2187" s="12"/>
    </row>
    <row r="2188" spans="1:1" x14ac:dyDescent="0.25">
      <c r="A2188" s="12"/>
    </row>
    <row r="2189" spans="1:1" x14ac:dyDescent="0.25">
      <c r="A2189" s="12"/>
    </row>
    <row r="2190" spans="1:1" x14ac:dyDescent="0.25">
      <c r="A2190" s="12"/>
    </row>
    <row r="2191" spans="1:1" x14ac:dyDescent="0.25">
      <c r="A2191" s="12"/>
    </row>
    <row r="2192" spans="1:1" x14ac:dyDescent="0.25">
      <c r="A2192" s="12"/>
    </row>
    <row r="2193" spans="1:1" x14ac:dyDescent="0.25">
      <c r="A2193" s="12"/>
    </row>
    <row r="2194" spans="1:1" x14ac:dyDescent="0.25">
      <c r="A2194" s="12"/>
    </row>
    <row r="2195" spans="1:1" x14ac:dyDescent="0.25">
      <c r="A2195" s="12"/>
    </row>
    <row r="2196" spans="1:1" x14ac:dyDescent="0.25">
      <c r="A2196" s="12"/>
    </row>
    <row r="2197" spans="1:1" x14ac:dyDescent="0.25">
      <c r="A2197" s="12"/>
    </row>
    <row r="2198" spans="1:1" x14ac:dyDescent="0.25">
      <c r="A2198" s="12"/>
    </row>
    <row r="2199" spans="1:1" x14ac:dyDescent="0.25">
      <c r="A2199" s="12"/>
    </row>
    <row r="2200" spans="1:1" x14ac:dyDescent="0.25">
      <c r="A2200" s="12"/>
    </row>
    <row r="2201" spans="1:1" x14ac:dyDescent="0.25">
      <c r="A2201" s="12"/>
    </row>
    <row r="2202" spans="1:1" x14ac:dyDescent="0.25">
      <c r="A2202" s="12"/>
    </row>
    <row r="2203" spans="1:1" x14ac:dyDescent="0.25">
      <c r="A2203" s="12"/>
    </row>
    <row r="2204" spans="1:1" x14ac:dyDescent="0.25">
      <c r="A2204" s="12"/>
    </row>
    <row r="2205" spans="1:1" x14ac:dyDescent="0.25">
      <c r="A2205" s="12"/>
    </row>
    <row r="2206" spans="1:1" x14ac:dyDescent="0.25">
      <c r="A2206" s="12"/>
    </row>
    <row r="2207" spans="1:1" x14ac:dyDescent="0.25">
      <c r="A2207" s="12"/>
    </row>
    <row r="2208" spans="1:1" x14ac:dyDescent="0.25">
      <c r="A2208" s="12"/>
    </row>
    <row r="2209" spans="1:1" x14ac:dyDescent="0.25">
      <c r="A2209" s="12"/>
    </row>
    <row r="2210" spans="1:1" x14ac:dyDescent="0.25">
      <c r="A2210" s="12"/>
    </row>
    <row r="2211" spans="1:1" x14ac:dyDescent="0.25">
      <c r="A2211" s="12"/>
    </row>
    <row r="2212" spans="1:1" x14ac:dyDescent="0.25">
      <c r="A2212" s="12"/>
    </row>
    <row r="2213" spans="1:1" x14ac:dyDescent="0.25">
      <c r="A2213" s="12"/>
    </row>
    <row r="2214" spans="1:1" x14ac:dyDescent="0.25">
      <c r="A2214" s="12"/>
    </row>
    <row r="2215" spans="1:1" x14ac:dyDescent="0.25">
      <c r="A2215" s="12"/>
    </row>
    <row r="2216" spans="1:1" x14ac:dyDescent="0.25">
      <c r="A2216" s="12"/>
    </row>
    <row r="2217" spans="1:1" x14ac:dyDescent="0.25">
      <c r="A2217" s="12"/>
    </row>
    <row r="2218" spans="1:1" x14ac:dyDescent="0.25">
      <c r="A2218" s="12"/>
    </row>
    <row r="2219" spans="1:1" x14ac:dyDescent="0.25">
      <c r="A2219" s="12"/>
    </row>
    <row r="2220" spans="1:1" x14ac:dyDescent="0.25">
      <c r="A2220" s="12"/>
    </row>
    <row r="2221" spans="1:1" x14ac:dyDescent="0.25">
      <c r="A2221" s="12"/>
    </row>
    <row r="2222" spans="1:1" x14ac:dyDescent="0.25">
      <c r="A2222" s="12"/>
    </row>
    <row r="2223" spans="1:1" x14ac:dyDescent="0.25">
      <c r="A2223" s="12"/>
    </row>
    <row r="2224" spans="1:1" x14ac:dyDescent="0.25">
      <c r="A2224" s="12"/>
    </row>
    <row r="2225" spans="1:1" x14ac:dyDescent="0.25">
      <c r="A2225" s="12"/>
    </row>
    <row r="2226" spans="1:1" x14ac:dyDescent="0.25">
      <c r="A2226" s="12"/>
    </row>
    <row r="2227" spans="1:1" x14ac:dyDescent="0.25">
      <c r="A2227" s="12"/>
    </row>
    <row r="2228" spans="1:1" x14ac:dyDescent="0.25">
      <c r="A2228" s="12"/>
    </row>
    <row r="2229" spans="1:1" x14ac:dyDescent="0.25">
      <c r="A2229" s="12"/>
    </row>
    <row r="2230" spans="1:1" x14ac:dyDescent="0.25">
      <c r="A2230" s="12"/>
    </row>
    <row r="2231" spans="1:1" x14ac:dyDescent="0.25">
      <c r="A2231" s="12"/>
    </row>
    <row r="2232" spans="1:1" x14ac:dyDescent="0.25">
      <c r="A2232" s="12"/>
    </row>
    <row r="2233" spans="1:1" x14ac:dyDescent="0.25">
      <c r="A2233" s="12"/>
    </row>
    <row r="2234" spans="1:1" x14ac:dyDescent="0.25">
      <c r="A2234" s="12"/>
    </row>
    <row r="2235" spans="1:1" x14ac:dyDescent="0.25">
      <c r="A2235" s="12"/>
    </row>
    <row r="2236" spans="1:1" x14ac:dyDescent="0.25">
      <c r="A2236" s="12"/>
    </row>
    <row r="2237" spans="1:1" x14ac:dyDescent="0.25">
      <c r="A2237" s="12"/>
    </row>
    <row r="2238" spans="1:1" x14ac:dyDescent="0.25">
      <c r="A2238" s="12"/>
    </row>
    <row r="2239" spans="1:1" x14ac:dyDescent="0.25">
      <c r="A2239" s="12"/>
    </row>
    <row r="2240" spans="1:1" x14ac:dyDescent="0.25">
      <c r="A2240" s="12"/>
    </row>
    <row r="2241" spans="1:4" x14ac:dyDescent="0.25">
      <c r="A2241" s="12"/>
    </row>
    <row r="2242" spans="1:4" x14ac:dyDescent="0.25">
      <c r="A2242" s="12"/>
    </row>
    <row r="2243" spans="1:4" x14ac:dyDescent="0.25">
      <c r="A2243" s="12"/>
    </row>
    <row r="2244" spans="1:4" x14ac:dyDescent="0.25">
      <c r="A2244" s="12"/>
    </row>
    <row r="2245" spans="1:4" x14ac:dyDescent="0.25">
      <c r="A2245" s="12"/>
    </row>
    <row r="2246" spans="1:4" x14ac:dyDescent="0.25">
      <c r="A2246" s="12"/>
    </row>
    <row r="2247" spans="1:4" x14ac:dyDescent="0.25">
      <c r="A2247" s="12"/>
    </row>
    <row r="2248" spans="1:4" x14ac:dyDescent="0.25">
      <c r="A2248" s="12"/>
    </row>
    <row r="2249" spans="1:4" x14ac:dyDescent="0.25">
      <c r="A2249" s="12"/>
    </row>
    <row r="2250" spans="1:4" x14ac:dyDescent="0.25">
      <c r="A2250" s="12"/>
    </row>
    <row r="2251" spans="1:4" x14ac:dyDescent="0.25">
      <c r="A2251" s="12"/>
    </row>
    <row r="2252" spans="1:4" x14ac:dyDescent="0.25">
      <c r="A2252" s="12"/>
    </row>
    <row r="2253" spans="1:4" x14ac:dyDescent="0.25">
      <c r="A2253" s="12"/>
    </row>
    <row r="2254" spans="1:4" x14ac:dyDescent="0.25">
      <c r="A2254" s="13"/>
      <c r="D2254" s="6"/>
    </row>
    <row r="2255" spans="1:4" x14ac:dyDescent="0.25">
      <c r="A2255" s="12"/>
    </row>
    <row r="2256" spans="1:4" x14ac:dyDescent="0.25">
      <c r="A2256" s="12"/>
    </row>
    <row r="2257" spans="1:1" x14ac:dyDescent="0.25">
      <c r="A2257" s="12"/>
    </row>
    <row r="2258" spans="1:1" x14ac:dyDescent="0.25">
      <c r="A2258" s="12"/>
    </row>
    <row r="2259" spans="1:1" x14ac:dyDescent="0.25">
      <c r="A2259" s="12"/>
    </row>
    <row r="2260" spans="1:1" x14ac:dyDescent="0.25">
      <c r="A2260" s="12"/>
    </row>
    <row r="2261" spans="1:1" x14ac:dyDescent="0.25">
      <c r="A2261" s="12"/>
    </row>
    <row r="2262" spans="1:1" x14ac:dyDescent="0.25">
      <c r="A2262" s="12"/>
    </row>
    <row r="2263" spans="1:1" x14ac:dyDescent="0.25">
      <c r="A2263" s="12"/>
    </row>
    <row r="2264" spans="1:1" x14ac:dyDescent="0.25">
      <c r="A2264" s="12"/>
    </row>
    <row r="2265" spans="1:1" x14ac:dyDescent="0.25">
      <c r="A2265" s="12"/>
    </row>
    <row r="2266" spans="1:1" x14ac:dyDescent="0.25">
      <c r="A2266" s="12"/>
    </row>
    <row r="2267" spans="1:1" x14ac:dyDescent="0.25">
      <c r="A2267" s="12"/>
    </row>
    <row r="2268" spans="1:1" x14ac:dyDescent="0.25">
      <c r="A2268" s="12"/>
    </row>
    <row r="2269" spans="1:1" x14ac:dyDescent="0.25">
      <c r="A2269" s="12"/>
    </row>
    <row r="2270" spans="1:1" x14ac:dyDescent="0.25">
      <c r="A2270" s="12"/>
    </row>
    <row r="2271" spans="1:1" x14ac:dyDescent="0.25">
      <c r="A2271" s="12"/>
    </row>
    <row r="2272" spans="1:1" x14ac:dyDescent="0.25">
      <c r="A2272" s="12"/>
    </row>
    <row r="2273" spans="1:1" x14ac:dyDescent="0.25">
      <c r="A2273" s="12"/>
    </row>
    <row r="2274" spans="1:1" x14ac:dyDescent="0.25">
      <c r="A2274" s="12"/>
    </row>
    <row r="2275" spans="1:1" x14ac:dyDescent="0.25">
      <c r="A2275" s="12"/>
    </row>
    <row r="2276" spans="1:1" x14ac:dyDescent="0.25">
      <c r="A2276" s="12"/>
    </row>
    <row r="2277" spans="1:1" x14ac:dyDescent="0.25">
      <c r="A2277" s="12"/>
    </row>
    <row r="2278" spans="1:1" x14ac:dyDescent="0.25">
      <c r="A2278" s="12"/>
    </row>
    <row r="2279" spans="1:1" x14ac:dyDescent="0.25">
      <c r="A2279" s="12"/>
    </row>
    <row r="2280" spans="1:1" x14ac:dyDescent="0.25">
      <c r="A2280" s="12"/>
    </row>
    <row r="2281" spans="1:1" x14ac:dyDescent="0.25">
      <c r="A2281" s="12"/>
    </row>
    <row r="2282" spans="1:1" x14ac:dyDescent="0.25">
      <c r="A2282" s="12"/>
    </row>
    <row r="2283" spans="1:1" x14ac:dyDescent="0.25">
      <c r="A2283" s="12"/>
    </row>
    <row r="2284" spans="1:1" x14ac:dyDescent="0.25">
      <c r="A2284" s="12"/>
    </row>
    <row r="2285" spans="1:1" x14ac:dyDescent="0.25">
      <c r="A2285" s="12"/>
    </row>
    <row r="2286" spans="1:1" x14ac:dyDescent="0.25">
      <c r="A2286" s="12"/>
    </row>
    <row r="2287" spans="1:1" x14ac:dyDescent="0.25">
      <c r="A2287" s="12"/>
    </row>
    <row r="2288" spans="1:1" x14ac:dyDescent="0.25">
      <c r="A2288" s="12"/>
    </row>
    <row r="2289" spans="1:1" x14ac:dyDescent="0.25">
      <c r="A2289" s="12"/>
    </row>
    <row r="2290" spans="1:1" x14ac:dyDescent="0.25">
      <c r="A2290" s="12"/>
    </row>
    <row r="2291" spans="1:1" x14ac:dyDescent="0.25">
      <c r="A2291" s="12"/>
    </row>
    <row r="2292" spans="1:1" x14ac:dyDescent="0.25">
      <c r="A2292" s="12"/>
    </row>
    <row r="2293" spans="1:1" x14ac:dyDescent="0.25">
      <c r="A2293" s="12"/>
    </row>
    <row r="2294" spans="1:1" x14ac:dyDescent="0.25">
      <c r="A2294" s="12"/>
    </row>
    <row r="2295" spans="1:1" x14ac:dyDescent="0.25">
      <c r="A2295" s="12"/>
    </row>
    <row r="2296" spans="1:1" x14ac:dyDescent="0.25">
      <c r="A2296" s="12"/>
    </row>
    <row r="2297" spans="1:1" x14ac:dyDescent="0.25">
      <c r="A2297" s="12"/>
    </row>
    <row r="2298" spans="1:1" x14ac:dyDescent="0.25">
      <c r="A2298" s="12"/>
    </row>
    <row r="2299" spans="1:1" x14ac:dyDescent="0.25">
      <c r="A2299" s="12"/>
    </row>
    <row r="2300" spans="1:1" x14ac:dyDescent="0.25">
      <c r="A2300" s="12"/>
    </row>
    <row r="2301" spans="1:1" x14ac:dyDescent="0.25">
      <c r="A2301" s="12"/>
    </row>
    <row r="2302" spans="1:1" x14ac:dyDescent="0.25">
      <c r="A2302" s="12"/>
    </row>
    <row r="2303" spans="1:1" x14ac:dyDescent="0.25">
      <c r="A2303" s="12"/>
    </row>
    <row r="2304" spans="1:1" x14ac:dyDescent="0.25">
      <c r="A2304" s="12"/>
    </row>
    <row r="2305" spans="1:1" x14ac:dyDescent="0.25">
      <c r="A2305" s="12"/>
    </row>
    <row r="2306" spans="1:1" x14ac:dyDescent="0.25">
      <c r="A2306" s="12"/>
    </row>
    <row r="2307" spans="1:1" x14ac:dyDescent="0.25">
      <c r="A2307" s="12"/>
    </row>
    <row r="2308" spans="1:1" x14ac:dyDescent="0.25">
      <c r="A2308" s="12"/>
    </row>
    <row r="2309" spans="1:1" x14ac:dyDescent="0.25">
      <c r="A2309" s="12"/>
    </row>
    <row r="2310" spans="1:1" x14ac:dyDescent="0.25">
      <c r="A2310" s="12"/>
    </row>
    <row r="2311" spans="1:1" x14ac:dyDescent="0.25">
      <c r="A2311" s="12"/>
    </row>
    <row r="2312" spans="1:1" x14ac:dyDescent="0.25">
      <c r="A2312" s="12"/>
    </row>
    <row r="2313" spans="1:1" x14ac:dyDescent="0.25">
      <c r="A2313" s="12"/>
    </row>
    <row r="2314" spans="1:1" x14ac:dyDescent="0.25">
      <c r="A2314" s="12"/>
    </row>
    <row r="2315" spans="1:1" x14ac:dyDescent="0.25">
      <c r="A2315" s="12"/>
    </row>
    <row r="2316" spans="1:1" x14ac:dyDescent="0.25">
      <c r="A2316" s="12"/>
    </row>
    <row r="2317" spans="1:1" x14ac:dyDescent="0.25">
      <c r="A2317" s="12"/>
    </row>
    <row r="2318" spans="1:1" x14ac:dyDescent="0.25">
      <c r="A2318" s="12"/>
    </row>
    <row r="2319" spans="1:1" x14ac:dyDescent="0.25">
      <c r="A2319" s="12"/>
    </row>
    <row r="2320" spans="1:1" x14ac:dyDescent="0.25">
      <c r="A2320" s="12"/>
    </row>
    <row r="2321" spans="1:1" x14ac:dyDescent="0.25">
      <c r="A2321" s="12"/>
    </row>
    <row r="2322" spans="1:1" x14ac:dyDescent="0.25">
      <c r="A2322" s="12"/>
    </row>
    <row r="2323" spans="1:1" x14ac:dyDescent="0.25">
      <c r="A2323" s="12"/>
    </row>
    <row r="2324" spans="1:1" x14ac:dyDescent="0.25">
      <c r="A2324" s="12"/>
    </row>
    <row r="2325" spans="1:1" x14ac:dyDescent="0.25">
      <c r="A2325" s="12"/>
    </row>
    <row r="2326" spans="1:1" x14ac:dyDescent="0.25">
      <c r="A2326" s="12"/>
    </row>
    <row r="2327" spans="1:1" x14ac:dyDescent="0.25">
      <c r="A2327" s="12"/>
    </row>
    <row r="2328" spans="1:1" x14ac:dyDescent="0.25">
      <c r="A2328" s="12"/>
    </row>
    <row r="2329" spans="1:1" x14ac:dyDescent="0.25">
      <c r="A2329" s="12"/>
    </row>
    <row r="2330" spans="1:1" x14ac:dyDescent="0.25">
      <c r="A2330" s="12"/>
    </row>
    <row r="2331" spans="1:1" x14ac:dyDescent="0.25">
      <c r="A2331" s="12"/>
    </row>
    <row r="2332" spans="1:1" x14ac:dyDescent="0.25">
      <c r="A2332" s="12"/>
    </row>
    <row r="2333" spans="1:1" x14ac:dyDescent="0.25">
      <c r="A2333" s="12"/>
    </row>
    <row r="2334" spans="1:1" x14ac:dyDescent="0.25">
      <c r="A2334" s="12"/>
    </row>
    <row r="2335" spans="1:1" x14ac:dyDescent="0.25">
      <c r="A2335" s="12"/>
    </row>
    <row r="2336" spans="1:1" x14ac:dyDescent="0.25">
      <c r="A2336" s="12"/>
    </row>
    <row r="2337" spans="1:1" x14ac:dyDescent="0.25">
      <c r="A2337" s="12"/>
    </row>
    <row r="2338" spans="1:1" x14ac:dyDescent="0.25">
      <c r="A2338" s="12"/>
    </row>
    <row r="2339" spans="1:1" x14ac:dyDescent="0.25">
      <c r="A2339" s="12"/>
    </row>
    <row r="2340" spans="1:1" x14ac:dyDescent="0.25">
      <c r="A2340" s="12"/>
    </row>
    <row r="2341" spans="1:1" x14ac:dyDescent="0.25">
      <c r="A2341" s="12"/>
    </row>
    <row r="2342" spans="1:1" x14ac:dyDescent="0.25">
      <c r="A2342" s="12"/>
    </row>
    <row r="2343" spans="1:1" x14ac:dyDescent="0.25">
      <c r="A2343" s="12"/>
    </row>
    <row r="2344" spans="1:1" x14ac:dyDescent="0.25">
      <c r="A2344" s="12"/>
    </row>
    <row r="2345" spans="1:1" x14ac:dyDescent="0.25">
      <c r="A2345" s="12"/>
    </row>
    <row r="2346" spans="1:1" x14ac:dyDescent="0.25">
      <c r="A2346" s="12"/>
    </row>
    <row r="2347" spans="1:1" x14ac:dyDescent="0.25">
      <c r="A2347" s="12"/>
    </row>
    <row r="2348" spans="1:1" x14ac:dyDescent="0.25">
      <c r="A2348" s="12"/>
    </row>
    <row r="2349" spans="1:1" x14ac:dyDescent="0.25">
      <c r="A2349" s="12"/>
    </row>
    <row r="2350" spans="1:1" x14ac:dyDescent="0.25">
      <c r="A2350" s="12"/>
    </row>
    <row r="2351" spans="1:1" x14ac:dyDescent="0.25">
      <c r="A2351" s="12"/>
    </row>
    <row r="2352" spans="1:1" x14ac:dyDescent="0.25">
      <c r="A2352" s="12"/>
    </row>
    <row r="2353" spans="1:1" x14ac:dyDescent="0.25">
      <c r="A2353" s="12"/>
    </row>
    <row r="2354" spans="1:1" x14ac:dyDescent="0.25">
      <c r="A2354" s="12"/>
    </row>
    <row r="2355" spans="1:1" x14ac:dyDescent="0.25">
      <c r="A2355" s="12"/>
    </row>
    <row r="2356" spans="1:1" x14ac:dyDescent="0.25">
      <c r="A2356" s="12"/>
    </row>
    <row r="2357" spans="1:1" x14ac:dyDescent="0.25">
      <c r="A2357" s="12"/>
    </row>
    <row r="2358" spans="1:1" x14ac:dyDescent="0.25">
      <c r="A2358" s="12"/>
    </row>
    <row r="2359" spans="1:1" x14ac:dyDescent="0.25">
      <c r="A2359" s="12"/>
    </row>
    <row r="2360" spans="1:1" x14ac:dyDescent="0.25">
      <c r="A2360" s="12"/>
    </row>
    <row r="2361" spans="1:1" x14ac:dyDescent="0.25">
      <c r="A2361" s="12"/>
    </row>
    <row r="2362" spans="1:1" x14ac:dyDescent="0.25">
      <c r="A2362" s="12"/>
    </row>
    <row r="2363" spans="1:1" x14ac:dyDescent="0.25">
      <c r="A2363" s="12"/>
    </row>
    <row r="2364" spans="1:1" x14ac:dyDescent="0.25">
      <c r="A2364" s="12"/>
    </row>
    <row r="2365" spans="1:1" x14ac:dyDescent="0.25">
      <c r="A2365" s="12"/>
    </row>
    <row r="2366" spans="1:1" x14ac:dyDescent="0.25">
      <c r="A2366" s="12"/>
    </row>
    <row r="2367" spans="1:1" x14ac:dyDescent="0.25">
      <c r="A2367" s="12"/>
    </row>
    <row r="2368" spans="1:1" x14ac:dyDescent="0.25">
      <c r="A2368" s="12"/>
    </row>
    <row r="2369" spans="1:1" x14ac:dyDescent="0.25">
      <c r="A2369" s="12"/>
    </row>
    <row r="2370" spans="1:1" x14ac:dyDescent="0.25">
      <c r="A2370" s="12"/>
    </row>
    <row r="2371" spans="1:1" x14ac:dyDescent="0.25">
      <c r="A2371" s="12"/>
    </row>
    <row r="2372" spans="1:1" x14ac:dyDescent="0.25">
      <c r="A2372" s="12"/>
    </row>
    <row r="2373" spans="1:1" x14ac:dyDescent="0.25">
      <c r="A2373" s="12"/>
    </row>
    <row r="2374" spans="1:1" x14ac:dyDescent="0.25">
      <c r="A2374" s="12"/>
    </row>
    <row r="2375" spans="1:1" x14ac:dyDescent="0.25">
      <c r="A2375" s="12"/>
    </row>
    <row r="2376" spans="1:1" x14ac:dyDescent="0.25">
      <c r="A2376" s="12"/>
    </row>
    <row r="2377" spans="1:1" x14ac:dyDescent="0.25">
      <c r="A2377" s="12"/>
    </row>
    <row r="2378" spans="1:1" x14ac:dyDescent="0.25">
      <c r="A2378" s="12"/>
    </row>
    <row r="2379" spans="1:1" x14ac:dyDescent="0.25">
      <c r="A2379" s="12"/>
    </row>
    <row r="2380" spans="1:1" x14ac:dyDescent="0.25">
      <c r="A2380" s="12"/>
    </row>
    <row r="2381" spans="1:1" x14ac:dyDescent="0.25">
      <c r="A2381" s="12"/>
    </row>
    <row r="2382" spans="1:1" x14ac:dyDescent="0.25">
      <c r="A2382" s="12"/>
    </row>
    <row r="2383" spans="1:1" x14ac:dyDescent="0.25">
      <c r="A2383" s="12"/>
    </row>
    <row r="2384" spans="1:1" x14ac:dyDescent="0.25">
      <c r="A2384" s="12"/>
    </row>
    <row r="2385" spans="1:1" x14ac:dyDescent="0.25">
      <c r="A2385" s="12"/>
    </row>
    <row r="2386" spans="1:1" x14ac:dyDescent="0.25">
      <c r="A2386" s="12"/>
    </row>
    <row r="2387" spans="1:1" x14ac:dyDescent="0.25">
      <c r="A2387" s="12"/>
    </row>
    <row r="2388" spans="1:1" x14ac:dyDescent="0.25">
      <c r="A2388" s="12"/>
    </row>
    <row r="2389" spans="1:1" x14ac:dyDescent="0.25">
      <c r="A2389" s="12"/>
    </row>
    <row r="2390" spans="1:1" x14ac:dyDescent="0.25">
      <c r="A2390" s="12"/>
    </row>
    <row r="2391" spans="1:1" x14ac:dyDescent="0.25">
      <c r="A2391" s="1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3C728-A94C-4997-9A16-B03A2B7E0CB5}">
  <dimension ref="A1:A7"/>
  <sheetViews>
    <sheetView workbookViewId="0">
      <selection activeCell="J4" sqref="J4"/>
    </sheetView>
  </sheetViews>
  <sheetFormatPr baseColWidth="10" defaultRowHeight="15" x14ac:dyDescent="0.25"/>
  <cols>
    <col min="1" max="1" width="57.140625" customWidth="1"/>
    <col min="2" max="2" width="11.5703125" customWidth="1"/>
  </cols>
  <sheetData>
    <row r="1" spans="1:1" ht="31.5" x14ac:dyDescent="0.25">
      <c r="A1" s="3" t="s">
        <v>4</v>
      </c>
    </row>
    <row r="2" spans="1:1" ht="31.5" x14ac:dyDescent="0.25">
      <c r="A2" s="3" t="s">
        <v>5</v>
      </c>
    </row>
    <row r="3" spans="1:1" ht="31.5" x14ac:dyDescent="0.25">
      <c r="A3" s="3" t="s">
        <v>0</v>
      </c>
    </row>
    <row r="4" spans="1:1" ht="63" x14ac:dyDescent="0.25">
      <c r="A4" s="3" t="s">
        <v>6</v>
      </c>
    </row>
    <row r="5" spans="1:1" ht="15.75" x14ac:dyDescent="0.25">
      <c r="A5" s="4" t="s">
        <v>1</v>
      </c>
    </row>
    <row r="6" spans="1:1" ht="15.75" x14ac:dyDescent="0.25">
      <c r="A6" s="3" t="s">
        <v>2</v>
      </c>
    </row>
    <row r="7" spans="1:1" ht="31.5" x14ac:dyDescent="0.25">
      <c r="A7" s="3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F79412BF-6028-40D7-A56F-E1289BCA480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BC525D6-8AF0-4910-9853-8B28FC14038A}">
  <ds:schemaRefs>
    <ds:schemaRef ds:uri="http://www.w3.org/2001/XMLSchema"/>
    <ds:schemaRef ds:uri="http://microsoft.data.visualization.Client.Excel/1.0"/>
  </ds:schemaRefs>
</ds:datastoreItem>
</file>

<file path=customXml/itemProps3.xml><?xml version="1.0" encoding="utf-8"?>
<ds:datastoreItem xmlns:ds="http://schemas.openxmlformats.org/officeDocument/2006/customXml" ds:itemID="{EFF596C7-CC35-409A-93DA-A810961154B2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2</vt:i4>
      </vt:variant>
    </vt:vector>
  </HeadingPairs>
  <TitlesOfParts>
    <vt:vector size="15" baseType="lpstr">
      <vt:lpstr>PLANTILLA- VOLUMEN DE VENTAS</vt:lpstr>
      <vt:lpstr>COMPARATIVO MENSUAL 2025</vt:lpstr>
      <vt:lpstr>Hoja1</vt:lpstr>
      <vt:lpstr>INDICADORES COMERCIALES</vt:lpstr>
      <vt:lpstr>Hoja2</vt:lpstr>
      <vt:lpstr>DATA MENSUAL_ASESOR2026</vt:lpstr>
      <vt:lpstr>2026</vt:lpstr>
      <vt:lpstr>2025</vt:lpstr>
      <vt:lpstr>COMP_MEN_ASES 2024</vt:lpstr>
      <vt:lpstr>COMPARATIVO ANUAL </vt:lpstr>
      <vt:lpstr>DATA MENSUAL_ASESOR2024</vt:lpstr>
      <vt:lpstr>DATA ANUAL</vt:lpstr>
      <vt:lpstr>VOLUMEN DE VENTAS</vt:lpstr>
      <vt:lpstr>'2026'!Área_de_impresión</vt:lpstr>
      <vt:lpstr>'COMPARATIVO MENSUAL 2025'!Área_de_impresión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VENT_01</dc:creator>
  <cp:lastModifiedBy>Sandra Figueroa</cp:lastModifiedBy>
  <cp:lastPrinted>2026-03-02T16:24:49Z</cp:lastPrinted>
  <dcterms:created xsi:type="dcterms:W3CDTF">2025-03-14T14:19:30Z</dcterms:created>
  <dcterms:modified xsi:type="dcterms:W3CDTF">2026-04-09T18:39:56Z</dcterms:modified>
</cp:coreProperties>
</file>