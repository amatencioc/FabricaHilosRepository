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80000009_{0CDB1BCB-A8E4-411C-8E20-90175091EFF4}" xr6:coauthVersionLast="47" xr6:coauthVersionMax="47" xr10:uidLastSave="{00000000-0000-0000-0000-000000000000}"/>
  <bookViews>
    <workbookView xWindow="-108" yWindow="-108" windowWidth="23256" windowHeight="12456" activeTab="1" xr2:uid="{0BA8ECB5-8064-445B-A65C-6CAF0752878D}"/>
  </bookViews>
  <sheets>
    <sheet name="RESUMEN" sheetId="2" r:id="rId1"/>
    <sheet name="DATA_DESARROLLO" sheetId="1" r:id="rId2"/>
  </sheets>
  <definedNames>
    <definedName name="_xlnm._FilterDatabase" localSheetId="1" hidden="1">DATA_DESARROLLO!$A$1:$K$137</definedName>
  </definedNames>
  <calcPr calcId="191029" fullPrecision="0"/>
  <pivotCaches>
    <pivotCache cacheId="2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9" i="2" l="1"/>
  <c r="B29" i="2"/>
  <c r="D29" i="2"/>
  <c r="E28" i="2"/>
  <c r="D28" i="2"/>
  <c r="C28" i="2"/>
  <c r="D31" i="2" s="1"/>
  <c r="B28" i="2"/>
  <c r="F27" i="2"/>
  <c r="E27" i="2"/>
  <c r="F26" i="2"/>
  <c r="E26" i="2"/>
  <c r="F25" i="2"/>
  <c r="E25" i="2"/>
  <c r="H20" i="2"/>
  <c r="F20" i="2"/>
  <c r="D20" i="2"/>
  <c r="B20" i="2"/>
</calcChain>
</file>

<file path=xl/sharedStrings.xml><?xml version="1.0" encoding="utf-8"?>
<sst xmlns="http://schemas.openxmlformats.org/spreadsheetml/2006/main" count="830" uniqueCount="318">
  <si>
    <t>NUMERO</t>
  </si>
  <si>
    <t>C_NOMBRE</t>
  </si>
  <si>
    <t>C_COSTO</t>
  </si>
  <si>
    <t>NOMBRE</t>
  </si>
  <si>
    <t>FECHA</t>
  </si>
  <si>
    <t>APROBADO</t>
  </si>
  <si>
    <t>REQUERIMIENTO</t>
  </si>
  <si>
    <t>SOLUCION</t>
  </si>
  <si>
    <t>F_INICIO</t>
  </si>
  <si>
    <t>F_TERMINO</t>
  </si>
  <si>
    <t>TUPAC NEVADO GISELA CARINA</t>
  </si>
  <si>
    <t>220</t>
  </si>
  <si>
    <t>CONTABILIDAD</t>
  </si>
  <si>
    <t xml:space="preserve">SE REQUIERE UN REPORTE DE INVENTARIO DONDE ME APAREZCA: ARTICULO, DESCRIPCION,  EL SALDO ACTUAL, FECHA DEL ULTIMA COMPRA O INGRESO DE PLANTA (SOLO PT), FECHA DE ULTIMA SALIDA, PRECIO PROMEDIO DEL ULTIMO CIERRE, PRECIO DE ULTIMA COMPRA  OPCIONES PARA TODOS LOS ALMACENES Y ARTICULOS  </t>
  </si>
  <si>
    <t>SE CREO UN REPORTE NUEVO Y UNA OPCION NUEVA EN EL MENU DE INVENTARIO</t>
  </si>
  <si>
    <t>EL REGISTRO DE UNA IMPORTACION EN AUTOMATICO</t>
  </si>
  <si>
    <t>EL TIPO DE CAMBIO DEL SUNAT DEBE CONFIRMARSE CON EL INGRESADO MANUALMENTE, DEBE SALTAR SI EXISTIERA UNA DIFERENCIA AL DIA SIGUIENTE .</t>
  </si>
  <si>
    <t xml:space="preserve">TODOS LOS DOCUMENTOS DE COMPRAS SERVICIOS ETC CON COMPROBANTE ELECTRONICIO SEA REGISTRADO GUARDADO SUS ARCHIVOS A LA NUVE E INGRESADO SEGUN SU CUENTA O SERVICIO.  LOS VOUCHER DEBEN ESTAR CONECTADOS CON LA ORDEN DE COMPRA </t>
  </si>
  <si>
    <t>EL LIBRO DE COSTOS CONTABLE MENSUAL Y ANUAL</t>
  </si>
  <si>
    <t>INFORMACION DE GERENCIA DE LOS EEFF Y ANALISIS SE BAJEN DEL SISTEMA DE FORMA AUTOMATICA , ACTUALMENTE SE REALIZA EN EXCELL</t>
  </si>
  <si>
    <t>SE NECESITA QUE EL AREA DE COSTO GENERE EL COSTEO DE PRODUCTOS TERMINADOS</t>
  </si>
  <si>
    <t>SE SOLICITA QUE EL AREA CONTABLE PUEDA ACTUALIZAR LAS CUENTAS DESPUES DE UN CIERRE ASI COMO ERRORES EN EL TIPO DE CAMBIO</t>
  </si>
  <si>
    <t>LOS CUADROS DE EXCEL DE COSTOS DEBEN ESTAR EN EL SISTEMA PARA QUE CALCULE EN FORMA AUTOMATICA</t>
  </si>
  <si>
    <t>LOS ALMACENES QUE ESTAN EN EL SISTEMA , PARA UNA AUDITORIA LOS ALMACENES QUE SE MUESTRAN SON LOS DE INVENTARIO CONTABLE</t>
  </si>
  <si>
    <t>RETOMAR EL TEMA DEL ALMACEN DE SERVICIOS Y EJECUTAR EL INGRESO,</t>
  </si>
  <si>
    <t>LA VALIDACION DEL NUMERO DE ORDEN EN LOS INGRESOS DE INVENTARIO PARA QUE SE PUEDA VALORIZAR LOS ASIENTOS Y LOS INGRESOS EN AUTOMATICO</t>
  </si>
  <si>
    <t>LIBRO DE INVENTARIO Y BALANCES SOLO ENTREGA CUENTAS CUADRADAS LAS DE CTA CTE  Y TODAS LAS DEMAS SE TIENEN QUE CORREGIR MANUALMENTE SE REQUIERE QUE MUESTRE TODAS LAS CUENTAS CON SALDO Y DETALLE QUE SOLICITA EL LIBRO , SE REALIZA MANUALMENTE</t>
  </si>
  <si>
    <t>ACTUALIZACION DE LOS INTERESES DE CTS Y REALIZAR EL ASIENTO</t>
  </si>
  <si>
    <t>PERMITIR ANULAR COMPROBANTES EMITIDOS EN AUTOMATICO</t>
  </si>
  <si>
    <t>SANCHEZ JULCA URSULA JUANA</t>
  </si>
  <si>
    <t>P710</t>
  </si>
  <si>
    <t>C.CALIDAD HILANDERIA</t>
  </si>
  <si>
    <t>SE LE ENVÍA EL CUADRO SOBRE DATOS DE CLIP, PRESIÓN Y PRE EN CONTINUAS SUESSEN, RIETER, SG Y ZINSER, PARA ACTUALIZAR LA DATA DE HOJA DE CAMBIO.</t>
  </si>
  <si>
    <t>SE CREAN TABLAS SEGUN MARCA DE MAQUINA</t>
  </si>
  <si>
    <t>SE REQUIERE IMPLEMENTAR LA HOJA DE CAMBIO DE TITULO (RECETAS)</t>
  </si>
  <si>
    <t>SE GENERO FORMA PARA EL REGISTRO DE LA HOJA DE CAMBIO, EN BASE A LAS TABLAS CREADAS, REPORTE DE HOJA DE CAMBIO Y SE ADICIONAN LAS OPCIONES AL MENU</t>
  </si>
  <si>
    <t>HOLGUIN PANTA LUCILA KARINA</t>
  </si>
  <si>
    <t>230</t>
  </si>
  <si>
    <t>RR.II.</t>
  </si>
  <si>
    <t>SE SOLICITA MODIFICAR EL REPORTE "REPORTE ANUAL DE ROTACION DE PERSONAL POR GRAN C.COSTOS": - ABREVIAR EL NOMBRE DE LOS GRAN C.COSTOS - AJUSTAR EL ANCHO DE LAS COLUMNAS PARA EVITAR EN LO POSIBLE QUE SALGA EN DOS PAGINAS CREAR UN RESUMEN POR GRAN C.COSTOS PARA QUE SE VISUALICEN AQUELLOS QUE SUPEREN EL 10%</t>
  </si>
  <si>
    <t>SE DESARROLLA LO SOLICITADO EN EL REPORTE</t>
  </si>
  <si>
    <t>TIEMPO DE SERVICIO AL VENCIMIENTO.  SUMATORIA CUANDO ES INGRESANTES.  EVALUACION DE DESEMPEÑO.  YA SE TIENE UN REQUERIMIENTO DE MARY Y AÑOS ATRAS GABRIELA.</t>
  </si>
  <si>
    <t>SE MODIFICA EL NOMBRE DEL CAMPO A T/SERV EVALUACION, LA CUAL OBTIENE LA DIFERENCIA ENTRE LA ULTIMA EVALUACION Y LA FECHA DE INGRESO</t>
  </si>
  <si>
    <t>SE DEBE CUANTIFICAR DE FORMA SEPARADA Y DIFERENCIADA LA GENERACIÓN DE SOBRETIEMPOS PARA LOS SIGUIENTES CASOS. VACACIONES PROGRAMADAS DESCANSOS MEDICOS FALTAS PERMISOS  LICENCIAS  TODO ESTES EVENTOS ESTAN INGRESADO EN LA DATA DEL PERSONAL</t>
  </si>
  <si>
    <t>TOSCANO CONDORI ARMANDO MANUEL</t>
  </si>
  <si>
    <t>280</t>
  </si>
  <si>
    <t>SEGURIDAD INDUSTRIAL</t>
  </si>
  <si>
    <t>SE REQUIERE COLOCAR EN EL SISTEMA EL FORMATO DE INSPECCION FS-25, PARA QUE EL AREA DE SSOMA, PUEDA LLENAR LOS HALLAZGOS Y LAS FOTOS. SE ENVIA EMAIL CON EL FORMATO</t>
  </si>
  <si>
    <t>SANTILLAN SALAZAR LLANET</t>
  </si>
  <si>
    <t xml:space="preserve">SRA MARIA SE SOLICITA QUE AUTOMATICE LO SIGUIENTE EN EL MODULO DE ACTIVO: -OPCION PARA SUBIR LA FOTO DEL ACTIVO FIJO. -LAS FICHAS DE LOS ACTIVOS DE ALTA Y BAJA DEBEN SER GENERADOS EN EL SISTEMAS Y ENVIADOS EN AUTOMATICO AL  JEFE DE MANTENIMIENTO Y EL JEFE DEL AREA DONDE SE ENCUENTRA EL EQUIPO PARA LA REVISION Y FIRMA RESPECTIVA. ADEMAS DEBE LLEGARLES UN AVISO COMO RECORDATORIO HASTA QUE SEA FIRMADA LA FICHAS. </t>
  </si>
  <si>
    <t>SRA MARIA SE SOLICITA AGREGAR EL ESTADO DE FLUJO DE EFECTIVO EN LA SIGUIENTE RUTA PARA IMPRESIONES-NUEVOS LIBRO Y REGISTROS/IMPRESION MATRICIAL.</t>
  </si>
  <si>
    <t>SRA MARIA SE SOLICITA  MODIFICAR LA FECHA DE ENVIO DE EGRESOS MASIVO MAXIMO 30 DIAS.</t>
  </si>
  <si>
    <t>SE MODIFICA LA VALIDACION A 30 DIAS</t>
  </si>
  <si>
    <t>SRA. MARIA SE NECESITA EN EL MODULO DE PAGO PROVEEDORES LA MACRO GENERADORA DE TXT PARA FACTORING PROVEEDORES ENVIO ESTRUCTURA AL CORREO.</t>
  </si>
  <si>
    <t>SRA MARIA SE SOLICITA UN VALIDADOR DEL MODULO DE PLANILLAS PERSONAL VS LA CONTABILIDAD.</t>
  </si>
  <si>
    <t>SRA. MARIA -POR FAVOR TENER COMO PRIORIDAD LA AUTOMATIZACIÓN DEL LIBRO DE ACTIVO FIJO, COMO ES DE CONOCIMIENTO DESDE EL 2014 SE TRABAJA DE FORMA MANUAL. MODIFICACION DE FORMULARIO Y/O REPORTE (ORACLE)</t>
  </si>
  <si>
    <t>JONATHAN GAMBA CARGO LA DATA F_INICIO 22/03/2024 Y USARIO VALIDÓ LA INFORMACION SIN DARLE CONFORMIDAD</t>
  </si>
  <si>
    <t>ASTETE QUINTANA MARIA VICTORIA</t>
  </si>
  <si>
    <t>250</t>
  </si>
  <si>
    <t>SISTEMAS</t>
  </si>
  <si>
    <t>SE SOLICITA APOYO PARA CREAR UN MODULO DE REGISTRO DE PRODUCCION DE PREPARATORIA EN TECNOLOGIA WEB, VALIDANDO LAS REGLAS DEL NEGOCIO Y AFINANDO EL DISEÑO Y FUNCIONALIDADES</t>
  </si>
  <si>
    <t>SE APOYA EN ANALISIS, DISEÑO Y VALIDACION</t>
  </si>
  <si>
    <t>GENERAR PANTALLA DE CONSULTA DE LOS PEDIDOS VS GUIAS VS FACTURAS ACEPTADAS POR SUNAT, PARA QUE EL USUARIO DE SGC TENGA LA FACILIDAD DE DESCARGAR LAS GUIAS Y FACTURA RELACIONADAS A PEDIDO DE GOTS Y ENVIALAS AL TRAMITE DE SU CERTIFICADO</t>
  </si>
  <si>
    <t>SE GENERA LAS CONSULTAS Y SE OTORGA LOS ACCESOS A LA PLATAFORMA DE BIZLINKS PARA PODER VISUALIZAR COMPROBAANTES Y GUIAS NO ENCONTRADAS</t>
  </si>
  <si>
    <t>SE REQUIERE UN NUEVO PROCESO DE DESCARGA DE CORREOS DE LOS PROVEEDORES XML, PDF, CDR CON LAS MISMAS FUNCIONALIDADES DE DESARROLLO  DE SENCORP ADICIONANDO MEJORAS EN EL PROCESO QUE FACILITE A LOGISTICA EN SU GESTION DE COMPRAS</t>
  </si>
  <si>
    <t>SE CONFIGURA DESCARGA DE CORREOS DE DOCUMENTOS.ELECTRONICOS@COLONIAL.COM.PE, SE DESCARGA LOS DATOS DE LOS CORREOS ENVIADO EN DIFERENTES MODALIDADES, SE CARGA A TABLAS PARA EFECTUAR LAS VALIDACIONES Y DEL ENVIO PARA RESPUESTAS DE SUNAT</t>
  </si>
  <si>
    <t>RIVERA GONZALES RIVELINO</t>
  </si>
  <si>
    <t>P820</t>
  </si>
  <si>
    <t>ALMACEN TINTES Y QUIMICOS</t>
  </si>
  <si>
    <t>BUENAS TARDES, POR FAVOR UNA LISTA EN EXCEL DE LAS ÚLTIMAS COMPRAS DE COLORANTE DISPERSOS (23)</t>
  </si>
  <si>
    <t>GUILLEN GUTIERREZ EDGAR GUTER</t>
  </si>
  <si>
    <t>CONTROL EN EL MANTENIMIENTO INTEGRAL Y PREVENTIVO DE EXTINTORES</t>
  </si>
  <si>
    <t>PAMPA PAMPA ESTEFANY JOSELYN</t>
  </si>
  <si>
    <t>MODIFICAR PARA QUE LAS ALERTAS DE VENCIMIENTO DE VACACIONES SALGA DE R.H.</t>
  </si>
  <si>
    <t xml:space="preserve">AGREGAR EN EL REPORTE DE PERSONAL CON ASIGNACION FAMILAR A LOS TRABAJADORES QUE TIENEN HIJOS MAYORES DE 18 AÑOS CON ESTUDIOS SUPERIOR </t>
  </si>
  <si>
    <t>SE AGREGA LA CONDICION SOLICITADA EN EL REPORTE</t>
  </si>
  <si>
    <t>DESCARGAR EN FORMATO XLS EL REPORTE DE PLANILLA DE INGRESOS Y DESCUENTOS</t>
  </si>
  <si>
    <t xml:space="preserve">HABILITAR LA OPCION DE GENERAR EL CONVENIO DE LABORAR DIAS FERIADOS PARA LA IMPRESION INDIVIDUAL Y/O MASIVA </t>
  </si>
  <si>
    <t>IMPLEMENTAR UN CRONOGRAMA DE PAGO DE LIQUIDACIONES EN EL SISTEMA PARA ENVIO A GERENCIA</t>
  </si>
  <si>
    <t>REPORTE DE APROBACIÓN DE HORAS EXTRAS POR ÁREAS EN EL SISTEMA LOGIX CON LOS SIGUIENTES PUNTOS A CONSIDERAR: -LAS HORAS EXTRAS SE IMPORTARÁN AL LOGIX CUANDO R.H. PROCESE LAS MARCACIONES Y DE PASE AL SUPERVISOR PARA QUE PUEDA VISUALIZAR. -GENERAR UN REPORTE DE HORAS EXTRAS NO AUTORIZADAS -GENERAR UN REPORTE DE HORAS EXTRAS QUE NO COINCIDAN CON EL AQUARIUS. -GENERAR UN REPORTE DE HORAS EXTRAS COMPENSADAS</t>
  </si>
  <si>
    <t>MARCACUZCO PEREZ MARIA ELENA</t>
  </si>
  <si>
    <t>P550</t>
  </si>
  <si>
    <t>LABORATORIO TINTORERIA</t>
  </si>
  <si>
    <t>JONATHAN, SEGÚN LO CONVERSADO: LOS SIGUIENTES MATERIALES. MODAL 100% LYOCELL100% (TENCEL) VISCOSA 100% ALGODÓN - ALPACA (BABY, ROYAL, FLEECE) DEBEN LLEVAR EN SUS RECETAS DE TEÑIDO O INICIO LA CANTIDAD DE 5GR/L DE SERA CON M-LU, SE DEBE AGREGAR DESDE EL PEDIDO Y SE DEBE VISUALIZAR EN EL REPORTE DE STOCK DE PRODUCTOS QCOS DE RIVELINO.</t>
  </si>
  <si>
    <t>SE ACTUALIZA EL REPORTE PARA INFORMAR SOBRE EL SERA CON ML-U</t>
  </si>
  <si>
    <t>SRA MARIA BS DS SE SOLICITA VERIFICAR DESDE COMERCIAL EL INGRESO DEL TEÑIDO A LAS MEZCLAS DE FIBRAS, EN ESTE CASO SI EL CLIENTE LO REQUIERE SOLIDO O SOLO TEÑIDO DE 1 FIBRA, COMERCIAL DESDE SU  PANTALLA TIENE UN CHECK, LABORATORIO LO DEBE VISUALIZAR PARA REALIZAR LA REVALIDACION, ADEMAS SE DEBE INCLUIR EN EL ANALISIS DE PARTIDA Y EN LA GUIA DE MATERIAL.</t>
  </si>
  <si>
    <t xml:space="preserve">SE MODIFICAN LA VALIDACION DE RECETAS Y SE ADICIONAN EN LA  IMPRESION DE LA GUIA EL DATO (COLOR SOLIDO) </t>
  </si>
  <si>
    <t>JONATHAN BS NS SE ENVIO UN CORREO ESPECIFICANDO EL REPORTE NECESARIO PARA CONTROLAR EL TIEMPO DE DEMORA DE LAS SOLICITUDES DE DESARROLLO DE LABORATORIO ALGUNA DUDA ME LLAMAS.</t>
  </si>
  <si>
    <t>SE CREA EL REPORTE SOLICITADO</t>
  </si>
  <si>
    <t>SALAZAR CORDOVA GABRIELA ZENAIDA</t>
  </si>
  <si>
    <t xml:space="preserve">5.	UN REPORTE DONDE SALGA EL PROMEDIO DE PUNTUACIÓN ANUAL DE SUS EVALUACIONES DE DESEMPEÑO DEL PERSONAL CONTRATADO, ASÍ COMO TAMBIÉN UN PROMEDIO DE CALIFICACIÓN POR EL TOTAL. EJEMPLO:EN CORREO 17.10.24  </t>
  </si>
  <si>
    <t>CONROY MONTESINOS RENZO YEFFERSON</t>
  </si>
  <si>
    <t>P730</t>
  </si>
  <si>
    <t>CONTROL DE LA PRODUCCION</t>
  </si>
  <si>
    <t>BUENOS DÍAS JONTAHAN, SE NECESITA QUE SE CREE UN CAMPO ADICIONAL A MI PROGRAMACIÓN QUE ESPECIFIQUE LOS KG DE HILO NETO QUE INGRESARÁN A TEÑIR. POR EJEMPLO:  SI SON 96 RODETES= 96 X 0.96 KG = 92.16 KG. (20/2) SI SON 116 MADEJAS = 96 X 0.94 KG = 90.24 KG. (08/4) SI SON 112 MADEJAS = 112 X 0.500 KG = 56 KG. (30/2X10) CONSIDERANDO ESTE CAMPO NUEVO SERÁ DE UTILIDAD PARA SU PANTALLA DE VALIDACIÓN DE RECETAS DE MALENA, PARA QUE AYUDE EN LA RELACIÓN DE BAÑO. TAMBIÉN SE TIENE QUE MEJORAR CUANDO SE JUNTAN LAS PARTIDAS SOLO INDICA LA R.B. DE ESA PARTIDA CUANDO ES INCORRECTA.</t>
  </si>
  <si>
    <t>EN ESPERA DEL LISTADO DE FACTORES POR TIPO DE ENCONADO</t>
  </si>
  <si>
    <t>BUENAS TARDES JONATHAN, FAVOR DE AGREGAR EN MI ORDEN DE PROGRAMACIÓN UN INDICADOR DE DOBLE TEÑIDO O COLOR SÓLIDO.</t>
  </si>
  <si>
    <t>SE AGREGA LA COLUMNA SOLICITADA</t>
  </si>
  <si>
    <t>BUENAS TARDES JONATHAN, FAVOR DE AGREGAR EN MI PANTALLA DE PROGRAMACIÓN LA OPCIÓN "COLOR SÓLIDO" QUE COLOCA COMERCIAL EN SUS INGRESOS DE PEDIDOS.</t>
  </si>
  <si>
    <t>SE MODIFICA PROGRAMA ADICIONANDO COLUMNA</t>
  </si>
  <si>
    <t>BUENAS TARDES JONATHAN, FAVOR DE PONER UNA OPCIÓN DE FILTRO PARA EL REPORTE  PMATXREQ. ESTE FILTRO CONSTARÁ PARA SUPRIMIR LA FECHA DE ENTREGA DE HILANDERÍA PUESTO QUE VISUALMENTE SE ENCUENTRA DISGREGADO POR FECHA Y NO MUESTRA UN CONSOLIDADO HASTA SER COLOCADA LA FECHA DE ENTREGA. SOLO ADICIONAR ESE FILTRO PARA VER EL RESUMENT COMO TAL.</t>
  </si>
  <si>
    <t>SE AGREGA EL FILTRO DE BUSQUEDA "CON/SIN FECHA DE ENTREGA" PARA PODER AGRUPAR POR MATERIAL Y TENER TOTALES GENERALES</t>
  </si>
  <si>
    <t>BUENAS TARDES JONATHAN, FAVOR DE COLOCAR EL LOGO DE OEKO-TEX A LA HOJA DE RUTA DE TINOTERÍA. SE MANDÓ UN CORREO CON EL LOGO. SE COLOCARÍA EN LA ESQUINA SUPERIOR DERECHA.</t>
  </si>
  <si>
    <t>SE CREA LA FUNCION "FIBRA_100ALGODON" Y SE VALIDA LA APARICION DEL LOGO OEKOTEX DEPENDIENDO SI EL PEDIDO/PARTIDA ES 100% ALGODON</t>
  </si>
  <si>
    <t>BUENAS TARDES JONTHAN, SE NECESITA CREAR UN REPORTE SOLO DE ACABADOS EN MADEJAS PARA LAS MÁQUINAS LORIS, HANK MASTER, HANK MASTER (100M), CUBOTEX Y MEZZERA. REPORTE SIMILAR AL PROGRAMA DIARIO Y MAESTRO. POR EL MOMENTO EL INDICADOR PARA QUE APAREZCA EN ESE REPORTE SON LOS QUE ESTÁN PENDIENTES POR ACABAR EN MADEJA.</t>
  </si>
  <si>
    <t>ABREGU CUSTODIO OMAR CHRISTIAN</t>
  </si>
  <si>
    <t>P740</t>
  </si>
  <si>
    <t>MANTENIMIENTO HILANDERIA</t>
  </si>
  <si>
    <t>EXISTEN MANTENIMIENTOS QUE VAN ACOMPAÑADOS DE INFORMES. EN TAL SENTIDO, SE REQUIERE SE ADJUNTE ESTE DOCUMENTO.</t>
  </si>
  <si>
    <t>YAÑEZ ARANIBAR JOSHELYN KAROL</t>
  </si>
  <si>
    <t>210</t>
  </si>
  <si>
    <t>ADMINISTRACION</t>
  </si>
  <si>
    <t>BUEN DIA, SE REQUIERE UN REPORTE DONDE SE PUEDA EVIDENCIAR LA SIGUIENTE INFORMACION.  PERMITIR LA BUSQUEDA MENSUAL Y ANUAL, ESTO PARA GENERAR REPORTES E INDICADORES. REQ FECHA DE REQ	 OC	 FECHA DE OC 	 CENTRO DE COSTO	 PERSONA QUE REALIZA EL REQUERIMIENTO 	 PROVEEDOR	 CODIGO DEL ARTICULO	 DESCRIPCION DEL ARTICULO	 CANTIDAD 	 UM	 PRECIO UNITARIO SUB TOTAL	 IGV	 TOTAL GRACIAS</t>
  </si>
  <si>
    <t>SE ENVIA EXCEL AL USUARIO PARA QUE CONFIRME LA INFORMACION REQUERIDA</t>
  </si>
  <si>
    <t>BUEN DÍA, EN EL MODULO DE REQUERIMIENTOS TENEMOS CUADROS QUE NO UTILIZAMOS. FAVOR DE QUITAR LOS CUADROS RESALTADOS Y LA DESCRIPCIÓN DEL ARTÍCULO QUE SE AMPLIE, ESTO PORQUE TENEMOS QUE REVISAR LA DESCRIPCIÓN COMPLETA DEL ITEM.</t>
  </si>
  <si>
    <t>SE AUMENTA EL ANCHO DEL FORMULARIO PARA PODER MOSTRAR MAS DETALLE DEL ARTICULO</t>
  </si>
  <si>
    <t>SRA. MARIA FAVOR DE MODIFICAR EL FORMATO DE REQUERIMIENTO QUE SE NUMERE LOS ITEMS QUE SALGA EL VALOR UNITARIO SUB TOTAL  IGV Y TOTAL. ASIMISMO SE ELIMINEN LAS COLUMNAS STOCK HISTORICO Y MINIMO</t>
  </si>
  <si>
    <t>SE AGREGARON Y ELIMINARON LAS COLUMNAS SOLICITADAS</t>
  </si>
  <si>
    <t>SE SOLICITA QUE A TODOS LOS USUARIOS NO SE LE PERMITA EL CODIGO DE ARTICULO PEDIDO DESACTIVAR O ANULAR ESA OPCION</t>
  </si>
  <si>
    <t>SE MODIFICA LA LISTA DE VALORES PARA SELECCIONAR EL TIPO DE ARTICULO DESDE LA TABLA USER_AUTHORIZED RESTRINGIENDO LOS ARTICULOS QUE INICIAN CON 'PEDIDO%'</t>
  </si>
  <si>
    <t>BUENAS TARDES, QUISIERA QUE SE UN FORMULARIO DONDE COLOCANDO LA ORDEN ME SALGA LA REFERENCIA DE LA ORDEN Y SEGUN ITEM CANTIDAD QUE A SIDO ATENDIDA. VER SI LOS ITEMS HAN SIDO ATENDIDO EN SU TOTALIDAD O PARCIAL.</t>
  </si>
  <si>
    <t>FLORES ALLCCARIMA ALEYDA DIGNA</t>
  </si>
  <si>
    <t>BUEN DÍA, SE REQUIERE SU ATENCIÓN EN EL MODULO DE CTAS POR PAGAR, YA QUE LOS REGISTROS DE LA NO EMITIDAS REALIZADOS EN CONTABILIDAD NO SE ESTÁN REFLEJANDO EN CTAS POR PAGAR</t>
  </si>
  <si>
    <t>CHAVEZ TITO JOSE ANTONIO</t>
  </si>
  <si>
    <t>310</t>
  </si>
  <si>
    <t>VENTAS Y SERVICIOS</t>
  </si>
  <si>
    <t>SE SOLICITA MODIFICAR PEDIDO PARA ADICIONAR CERTIFICADO DE GOTS EN PEDIDOS DE COLOR, ASI MISMO CREAR ARTICULOS PARA SU FACTURACION</t>
  </si>
  <si>
    <t>SE MODIFICA FORMA DE PEDIDOS COLOR PERMITIENDO ADICIONAR CONCEPTOS INTERNOS ENTRE ELLOS LOS CERTIFICADO DE GOTS Y/O OCS</t>
  </si>
  <si>
    <t>SE SOLICITA AGREGAR EL ITEM DE CERTIFICADO DE GOTS PARA LOS PEDIDOS DE HEATHER</t>
  </si>
  <si>
    <t>SE SOLICITA PERMITIR ELEGIR EL ITEM DE CERTIFICADO GOTS PARA LOS PEDIDOS DE TINTORERIA</t>
  </si>
  <si>
    <t>SE DESARROLLA LO SOLICITADO</t>
  </si>
  <si>
    <t>PERMITIR QUITAR CHECK DE VALIDACIÓN A PEDIDOS DE RESERVA</t>
  </si>
  <si>
    <t>SE HABILITA EL PODER QUITAR EL CHECK DE VISADO</t>
  </si>
  <si>
    <t>POR FAVOR ADICIONAR LA COLOMUNA DESCRIPCION DE COLOR EN LA EXPORTACIÓN A EXCEL DE LAS COTIZACIONES DE VENTAS</t>
  </si>
  <si>
    <t>SE AGREGA LA COLUMNA COLOR DE COTIZACION Y DE REFERENCIA EN LA EXPORTACION A EXCEL</t>
  </si>
  <si>
    <t>EL CLIENTE MICHELL SOLICITA AFFIDAVITS EN ESPAÑOL, CREAR ESTE MODELO</t>
  </si>
  <si>
    <t>SE DESARROLLA EL FORMATO MODELO 1 DEL AFFIDAVIT A ESPAÑOL</t>
  </si>
  <si>
    <t>MARIA FAVOR DE PERMITIR AGREGAR OBSERVACIONES AL PEDIDO DE CRUDO COMO LO ES EN TEÑIDOS</t>
  </si>
  <si>
    <t>SE VALIDA LO SOLICITADO</t>
  </si>
  <si>
    <t>ARMAS GARCIA CRIS YACKELYN</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</si>
  <si>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7) PEDIDOS MOULINEX REVISAR Y ANALIZAR LA INFORMACIÓN RELACIONADA CON EL INGRESO DE PEDIDOS MOULINEX.</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</si>
  <si>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5) ESTANDARIZACIÓN DE CODIFICACIÓN UNIFICAR Y ESTANDARIZAR LA CODIFICACIÓN TANTO PARA EL INGRESO DE SOLICITUDES DE MUESTRAS COMO PARA EL REGISTRO DE PEDIDOS.</t>
  </si>
  <si>
    <t>QUEREMOS SOLICITAR UNA RUTA EN EL SISTEMA, EL CUAL CADA ASESOR PUEDA VER SUS PEDIDOS QUE AUN NO ESTÁN DESPACHADOS RESPECTO A SUS CLIENTES, CON EL FIN DE PODER REALIZAR LAS COORDINACIONES CON EL ÁREA DE ALMACÉN.  ACTUALMENTE YO LO VEO CUANDO DESCARGO LA DATA DE COMPROMISO DE ENTREGA DETALLADO, EL CUAL SE GENERA UN EXCEL Y TENGO QUE IR A LA HOJA Y FILTRAR.  CON EL FIN DE DAR CELERIDAD, SERÍA RECOMENDABLE QUE HAYA UNA RUTA DIRECTA, QUE AL MOMENTO DE HACER LA BÚSQUEDA SE FILTRE POR ASESOR Y FECHA, Y SE GENERE AUTOMÁTICAMENTE LA DATA, TANTO EN EL SISTEMA COMO EXPORTARLO EN UN EXCEL.</t>
  </si>
  <si>
    <t>TORRES PEREZ BRAYAN JOSSUE</t>
  </si>
  <si>
    <t>SE SOLICITA CREAR UN MODULO DE REGISTRO DE PRODUCCION DE PREPARATORIA EN TECNOLOGIA WEB</t>
  </si>
  <si>
    <t>ORBEZO MEDINA KAREN STACI</t>
  </si>
  <si>
    <t>BUEN DIA JONATHAN.  SE SOLICITA QUE PARA EL PROGRAMA DE TINTORERIA (SOLO PARA MADEJAS) SU FECHA DE ENTREGA DE MATERIAL DE HILANDERIA SALGA CON LA FECHA DE LA GUIA EMITIDA.</t>
  </si>
  <si>
    <t>SE AGREGA LA FUNCIONALIDAD SEGUN LO SOLICITADO, LA CUAL SE MOSTRARA EN EL CAMPO DISPLAY "F/INGRESO ALM INTERMEDIO"</t>
  </si>
  <si>
    <t>JONATHAN POR FVAIR VERIFICAR PORQUE NO ME SALE EL LOTE CUANDO DOY F9 PARA EL PEDIDO 88356</t>
  </si>
  <si>
    <t>SE VERIFICA QUE NO EXISTEHN LOTES PARA LA FIBRA "060" (TANGUIS ORGANICO) EN ALM. INTERMEDIOS POR ESO ES QUE NO MOSTRABA DICHO LOTE. SE LE PERMITE AL USUARIO QUE EN CASO NO EXISTA EL LOTE, PUEDA REGITRAR CUALQUIERA (INCLUSO LOTE 0)</t>
  </si>
  <si>
    <t>BUENAS TARDES, JONATHAN TE ENVIO LOS REQUERIMIENTOS QUE ACORDAMOS PREVIAMENTE.  1. STOCK DE MATERIAL POR LOTES: EN LA VENTANA DE PROGRAMACIÓN DE TINTORERÍA MOSTRAR CON F9 LOS LOTES Y CANTIDADES DISPONIBLES. 2. PARA EL BOOM DE MATERIALES SE DEBE VISUALIZAR EL STOCK (CANTIDAD Y RESERVAS) PARA INTERMEDIO TAMBIÉN LO DEBE VISUALIZAR PARA QUE      - FECHA DE ULTIMO INGRESO (HILANDERIA)      - REQ MAT PROGRAMA (ACUMULADO DE RESERVA DE ESE MATERIAL)      - STOCK DE ALM. DE INTERMEDIOS (CANTIDAD REAL DEL MATERIAL (DESCONTANDO LA RESERVA)     - STOCK DISPONIBLE (CUANTO MATERIAL DISPONIBLE ESTÁ QUEDANDO)</t>
  </si>
  <si>
    <t>SE AGREGAN LOS CALCULOS SOLICITADOS</t>
  </si>
  <si>
    <t>BUEN DIA JONATHAN SE SOLICITA PARA EL REPORTE DE SEGUIMIENTO DE PROGRAMACION DE TINTORERIA, SE REQUIERE VISUALIZAR: -TODOS LOS PEDIDOS APROBADOS -MAQUINA SECADORA (THIES O MINNETTI) -INGRESO DE MATERIAL AL ALMACEN (COLUMNA F/ ENTREG MAT HILAND) -FECHA Y HORA DE LA GUIA EMITIDA -ADICIONAR UNA COLUMNA DE LA FECHA ESTIMADA DEL ENCONADO</t>
  </si>
  <si>
    <t>SE AGREGAN LOS FILTROS DE BUSQUEDA Y LAS COLUMNAS SOLICITADAS. EN COORDINACION CON RENZO SE REEMPLAZO LA COLUMNA "MAQUINA SECADORA" POR "F/SECADO MADEJAS"</t>
  </si>
  <si>
    <t>BUENAS TARDES, JONATHAN TE ENVIO LOS REQUERIMIENTOS QUE ACORDAMOS PREVIAMENTE.  1. VISUALIZAR LA FECHA DE INGRESO DE MATERIAL EN EL REPORTE DE SEGUIMIENTO DE PROGRAMACIÓN DE TINTORERÍA (CUANDO EL MATERIAL INGRESE ALMACEN DEBE JALAR ESA FECHA PARA EL REPORTE). 2. EN EL SEGUIMIENTO DE PROGRAMACIÓN DE TINTORERÍA MOSTRAR TODOS LOS PEDIDOS INGRESADOS. (SIN RESTRICCIÓN)</t>
  </si>
  <si>
    <t>BUENAS TARDES. POR FAVOR EN EL REPORTE DE SEGUIMIENTO DE PROGRAMACION DE TINTORERIA INCLUIR EN LA DESCARGA LA COLUMNA DE ACABADO EN MADEJAS.</t>
  </si>
  <si>
    <t>SE MODIFICA PROGRAMA ADICIONANDO LA COLUMA AL EXCEL QUE SE GENERA</t>
  </si>
  <si>
    <t>Total general</t>
  </si>
  <si>
    <t>2024</t>
  </si>
  <si>
    <t>2025</t>
  </si>
  <si>
    <t>2026</t>
  </si>
  <si>
    <t>Años</t>
  </si>
  <si>
    <t>Datos</t>
  </si>
  <si>
    <t>Total PENDIENTE</t>
  </si>
  <si>
    <t>PENDIENTE</t>
  </si>
  <si>
    <t>Total ENTREGADO</t>
  </si>
  <si>
    <t>ENTREGADO</t>
  </si>
  <si>
    <t>REQUERIMIENTOS PENDIENTES AL 26/03/2026</t>
  </si>
  <si>
    <t>TOTAL PENDIENTES</t>
  </si>
  <si>
    <t>MES</t>
  </si>
  <si>
    <t>SIG.MES</t>
  </si>
  <si>
    <t>%</t>
  </si>
  <si>
    <t>ENERO</t>
  </si>
  <si>
    <t>FEBRERO</t>
  </si>
  <si>
    <t>TOTAL</t>
  </si>
  <si>
    <t>MARZO</t>
  </si>
  <si>
    <t>SALAS GONZALEZ MARY MONIQUE</t>
  </si>
  <si>
    <t>2.	SE PUEDA GENERAR UNA OPCIÓN EN LA VENTANA DE EVALUACIÓN DE DESEMPEÑO DE PERSONAL, DONDE AL REGISTRAR LA FECHA ACTUAL,  TENGA LA OPCIÓN DE ACTUALIZAR "EL RESPONSABLE O EVALUADOR" EN AUTOMÁTICO. CORREO DEL 17.10</t>
  </si>
  <si>
    <t>SE CREA EL FORMULARIO DE ACTUALIZACION DE EVALUADORES</t>
  </si>
  <si>
    <t>BUENOS DÍAS, SRA. MARIA,							 SOLICITAR A SISTEMA  QUE GENERE EN LA PLANILLA SEMANAL EL BONO DE RETORNO VACACIONAL (COD ING: 1031) CADA VEZ QUE EL TRABAJADOR (OBREROS) CUMPLA GOCE SUS 30 DIAS DE UN PERIODO VACACIONAL, TENIENDO EN CUENTA QUE DICHO BONO SE OTORGARA CUANDO TENGA SEMANA TRABAJADA.</t>
  </si>
  <si>
    <t>SE MODIFICA EL PROCEDIMIENTO EN LA HABILITACION DE LA PLANILLA ADICIONANDO LA CARGA DEL BONO VACACIONAL PARA EL PERSONAL QUE RETORNA LUEGO DE CUMPLIR UN PERIODO COMPLETO (30) DIAS, LA INFORMACION PARA ELLO SE JALA DE LOS EVENTOS DE VACACIONES</t>
  </si>
  <si>
    <t>BUENAS TARDES, REQUIERO QUE EN LA PESTAÑA DE CONSULTA DE PERSONAL, SALGA EL CAMBIO EN EL CENTRO DE COSTRO DEL TRABAJADOR, ES DECIR SI INGRESO A PREPARATORIA Y DESPUES DE 1 AÑO CAMBIO A PLANEAMIENTO, ESTO SALGA REFLEJADO EN ESE REPORTE, IGUAL PASO EMAIL. CENTRO DE COSTO - PUESTO - FECHA</t>
  </si>
  <si>
    <t>SE AGREGA EL BLOQUE DE INFORMACION SOLICITADO (HISTORICO CENTRO DE COSTOS)</t>
  </si>
  <si>
    <t>BUENAS TARDES JONATHAN SOLICITO INCORPORAR EN EL PROGRAMA UNA NUEVA VENTANA TITULADA "SEGUIMIENTO DE HILANDERIA", LA CUAL TIENE COMO FINALIDAD MEJORAR EL CONTROL Y TRAZABILIDAD DE LAS PARTIDAS, ASÍ COMO IDENTIFICAR ERRORES EN LOS REGISTROS DE PRODUCCIÓN Y FACILITAR EL ANÁLISIS DE CAUSAS RAÍZ. ESTA HERRAMIENTA SERÁ DE GRAN UTILIDAD PARA EL EQUIPO DE PCP.  1-CUADRO DETALLADO: ESTA SECCIÓN CONSISTIRÁ EN UNA TABLA QUE MUESTRE LAS PARTIDAS CON FECHAS DE APROBACIÓN, ORDENADAS DE FORMA DESCENDENTE (DE LA MÁS RECIENTE A LA MÁS ANTIGUA.  LA INFORMACIÓN PRESENTADA DEBE INCLUIR -CLIENTE. -NÚMERO DE PEDIDO E ÍTEM. -MATERIALES Y LOTE. -INFORMACIÓN DE LA RECETA: KILOGRAMOS BRUTOS Y NETOS. -INFORMACIÓN DE PRODUCCIÓN: REGISTROS DE LAS MÁQUINAS INVOLUCRADAS (BATÁN, MANUARES, PABILERAS, CONTINUAS, RETORCEDORAS EN CASO DE CABOS). -REVISADO Y ALMACEN DE TERMINADOS( LO PESADO).</t>
  </si>
  <si>
    <t>SE CREA EL PROGRAMA "SEGUIMIENTO DE HILANDERIA" SEGUN LO SOLICITADO EN EL CORREO DEL 15/01/2026 10:18 AM</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</si>
  <si>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8) ACCESO A FICHAS TÉCNICAS INCORPORAR UN ACCESO DIRECTO A LAS FICHAS TÉCNICAS, TOMANDO COMO REFERENCIA LOS AFFIDAVITS CORRESPONDIENTES.</t>
  </si>
  <si>
    <t>SE DESARROLLA EL MODULO DE LISTADO DE FICHAS TECNICAS Y SU DESCARGA EN PDF</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</si>
  <si>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6) CRITERIO PARA ENCONADOS DEFINIR Y APLICAR EL ENCONADO EN FUNCIÓN DE LA VENTANA DEL PROCESO, CONSIDERANDO SI CORRESPONDE A TINTORERÍA O CRUDO/HEATHER.</t>
  </si>
  <si>
    <t>SE VALIDA EL LISTADO DE ENCONADOS SEGUN EL FORMULARIO DE REGISTRO DE PEDIDOS, SE COORDINO ENTRE PCP Y COMERCIAL)</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</si>
  <si>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4) ORDEN DE COMPRA INTERNA AUTOMÁTICA GENERAR LA OC INTERNA DE MANERA AUTOMÁTICA Y QUE ESTA SE CARGUE DIRECTAMENTE EN EL SISTEMA.</t>
  </si>
  <si>
    <t>SE CREA EL ACCESO EN EL REGISTRO DE PEDIDOS DE TINTORERIA Y CRUDO, MG Y HEATHERS PARA PODER GENERAR EN PDF LA ORDEN DE COMPRA INTERNA</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</si>
  <si>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3) PEDIDO ADICIONAL  REGISTRO DE ANTICIPO HABILITAR EN LA PANTALLA DE PEDIDO ADICIONAL UN BOTÓN PARA EL REGISTRO DEL ANTICIPO, DE MODO QUE TODA LA INFORMACIÓN QUEDE CONSOLIDADA EN UN SOLO PEDIDO.</t>
  </si>
  <si>
    <t>SE INTEGRA EN LOS REGISTROS DE PEDIDO UN BOTON ATAJO HACIA EL REGISTRO DE ANTICIPO, ADICIONALMENTE EN EL ANTICIPO SE COPIA EN EL DETALLE EL PEDIDO ASOCIADO</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</si>
  <si>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2) SPOT (DETRACCIÓN) MAYOR AL MONTO DE 700 SEA EN FORMA AUTOMÁTICA</t>
  </si>
  <si>
    <t>SE HABILITA LO SOLICITADO</t>
  </si>
  <si>
    <t xml:space="preserve">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1) APROBACIÓN DE LABDIPS DE PRODUCCIÓN EN EL SISTEMA INCORPORAR UN VISADO OBLIGATORIO DEL ÁREA DE VENTAS UNA VEZ QUE EL CLIENTE HAYA APROBADO EN MECHÓN DE PRODUCCIÓN. </t>
  </si>
  <si>
    <t>SE DESARROLLA LA APROBACION DE EVALUACION DE PARTIDAS POR PARTE DEL CLIENTE</t>
  </si>
  <si>
    <t>SCHIMITSCHEK VOTTELER ALEXANDER ERICH</t>
  </si>
  <si>
    <t>P560</t>
  </si>
  <si>
    <t>TINTORERIA GENERAL</t>
  </si>
  <si>
    <t>HOLA MARÍA POR FAVOR HAZ QUE FUNCIONE LA ALERTA POR STOCKS MÍNIMOS DE TODOS LOS COLORANTES CONSUMIDOS EN EL 2025. ADJUNTO CUADRO CON CONSUMOS DE LOS PRINCIPALES COLORANTES, TOMAR X 2 EL VALOR DEL CONSUMO PROMEDIO MENSUAL COMO STOCK MÍNIMO PARA LA ALERTA (COLUMNA R). CANTIDAD MÍNIMA = 10 KILOS RANGO A REDONDEO = MÚLTIPLOS DE 10 KILOS</t>
  </si>
  <si>
    <t>SE ADICIONA AL MENU EL ENVIO DE CORREO AUTOMÁTICO DEL STOCK MINIMO EVALUANDO EL SALDO MENOS LAS RECETAS PENDIENTES DE DESPACHO</t>
  </si>
  <si>
    <t>SRA MARIA  SE SOLICITA QUE AL CONTABILIZAR LAS PLANILLAS DE PERSONAL EMPLEADOS-OBREROS LOS CONCEPTOS DE INGRESOS , 1031,1089,1020,1063,1026, MIGREN CON LOS NOMBRES DE LOS TRABAJADORES.</t>
  </si>
  <si>
    <t>SE MODIFICA LA GENERACION DE ASIENTO ADICIONANDO EL DETALLE POR TRABAJADOR SEGUN LOS CONCEPTOS IDENTIFICADOS COMO RESUMEN / DETALLE EN EL MAESTRO DE CONCEPTOS</t>
  </si>
  <si>
    <t>SRA MARIA SE SOLICITA REPORTE CONDICION PAGOS PARA CLIENTES /PROVEEDORES CON LA SIGUIENTES CONDICIONES CONTADO-CREDITO FACTURAS-LETRAS</t>
  </si>
  <si>
    <t>SE GENERA REPORTE SEGUN MODELO ENVIADO POR CORREO EL 29/01/2026</t>
  </si>
  <si>
    <t>SRA MARIA  SE SOLICITA  DEL TOTAL DE PLANILLA PERSONAL SE DETALLE LA CABECERA DE INGRESOS Y EGRESOS DETALLADA POR TRABAJADORES.</t>
  </si>
  <si>
    <t>SE GENERA FORMA DE CONSULTA DE LOS CONCEPTOS INVOLUCADOS EN LA PLANILLA PARA SU VERIFICACIÓN</t>
  </si>
  <si>
    <t>SOLICITO QUE LA OPCION APROBADA APAREZCA EN LA IMPRESIÓN DE LA SOLICITUD DE DESARROLLO DE COLOR ASÍ MISMO EN EL REPORTE QUE EXPORTA LOS LAB DIPS SOLICITO QUE APARECZCA LA COLUMNA QUE INDICA EL PANTONE Y LO QUE SE ADJUNTA (MECHON, PANTONE ETC)</t>
  </si>
  <si>
    <t>SE AGREGA LA COLUMNA "OPCION APROBADA" EN EL REPORTE</t>
  </si>
  <si>
    <t>MARIA EN VISTA QUE EL REGISTRO SIEMRPE GENERA UN ARTICULO Y LUEGO NO SE PUEDE EDITAR, NECESITAMOS QUE SE PERMITA COLOCAR UNA REFERENCIA  SIN VALOR QUE NO GENERE ARTICULO QUE SOLO PERMITA PONER UN NOMBRE EN ETIQUETA Y TENER PRESENTE EL REGISTRO DEL PEDIDO COMPLETO. TE LO COMENTO PORQUE EN MI CASO CREABA SOLICITUDES SIN TENER LA MUESTRA FISICA PERO ESTO LEVANTÓ OBSERVACIÓN CON LABORATORIO TODOS RECIBIMOS MUCHAS VECES ORDENES DE COMPRA CON EL COLOR POR DEFINIR PERO YA CON CANTIDADES PROYECTADAS Y ES LIMITANTE NO TENER EL REGISTRO LO CUAL CONLLEVA A REVISAR DEMASIADO POR TODAS PARTES. ESTE CAMBIO SOLO ES PARA EL REGISTRO NO ALTERA EN NADA UNA APROBACIÓN PUES ESTA SE PASA CON LA ORDEN DE COMPRA Y PARA ESE MOMENTO YA TODO ESTÁRÍA COMPLETADO.</t>
  </si>
  <si>
    <t>SE MODIFICO PROGRAMA PARA QUE NO VALIDE LA REFERENCIA SIEMPRE QUE EN ESTA SE COLOQUE CON P2-0-0 EN EL REGISTRO HASTA QUE EL ASESOR COMPLETE LOS DATOS</t>
  </si>
  <si>
    <t>RAMIREZ JUAPE IRMA</t>
  </si>
  <si>
    <t>FAVOR DE GENERAR  PDF DE  RELACION DE ANTICIPOS PARA ENVIARSE A LOS CLIENTES.</t>
  </si>
  <si>
    <t>SE HABILITA LA EXPORTACION A PDF</t>
  </si>
  <si>
    <t>ALVILDO CANO BERTHA MARIELA</t>
  </si>
  <si>
    <t>320</t>
  </si>
  <si>
    <t>COBRANZA</t>
  </si>
  <si>
    <t>SE SOLICITA HABILITAR LA EXPORTACION A PDF DE LOS REPORTES: XCABFCOB Y XMVCLIDE</t>
  </si>
  <si>
    <t>SE MODIFICAN LOS REPORTES</t>
  </si>
  <si>
    <t>SE REQUIERE SE VALIDE LA INFORMACIÓN DEL MAESTRO DE PERSONAL EN SU INGRESO COMO EN SU MODIFICACIÓN LOS DATOS DEL TRABAJADOR, TAMBIEN SE NECESIA UNA VALIDACION DE LA PLANILLA SEMANAL Y/O MENSUAL</t>
  </si>
  <si>
    <t>SE MODIFICA EL MAESTRO DE PERSONAL CON LOS CONTROLES SOLICITADOS POR EL USUARIO Y SE ADICIONA EL REPORTE DE VALIDACIONES DE PLANILLAS</t>
  </si>
  <si>
    <t>JONATHAN BS NS SE REQUIERE QUE SE HABILITE LA IMPRESIÓN SIMILAR A LA DE CONTROL DE CALIDAD, COMO SE MUESTRA EN LA FOTO, ADJUNTA. AGREGAR LOS CAMPOS DE MAQUINA, RELACION DE BAÑO, LUCES Y TEMPERATURA, LOS DOS PRIMEROS SE JALA LA INFORMACIÓN DE SISTEMA Y LOS 2 SGTES QUEDAN EN BLANCO PARA Q EL USUARIO LO COMPLETE.</t>
  </si>
  <si>
    <t xml:space="preserve">SE HABILITA EL BOTON DE IMPRESION DE TICKETS EN LA VALIDACION DE RECETA. SE CREA EL REPORTE DE IMPRESION DE TICKETS </t>
  </si>
  <si>
    <t>SE SOLICITA IMPLEMENTAR EL ALERTA STOCK MÍNIMO PARA LOS PRODUCTOS AUXILIARES.  STOCK MÍNIMO NO PERMITIR GENERAR RECETA CUNADO EL STOCK ESTE EN 0 </t>
  </si>
  <si>
    <t>SE INGRESARON LOS STOCKS MINIMOS SEGUN RELACION ENVIADA EL 13/01 Y SE MODIFICO PROGRAMA DE ENVIO DE CORREO ADICIONANDO LOS AUXILIARES</t>
  </si>
  <si>
    <t>HABILITAR LOS IMPORTES DE VALE DE ALIMENTOS DE MANERA AUTOMATICA EN INGRESO Y DESCUENTOS EN LA PLANILLA SEMANAL</t>
  </si>
  <si>
    <t>SE ADICIONA CONTROL DE VALES DE ALIMENTOS EN LA PLANILLA</t>
  </si>
  <si>
    <t>SE SOLICITA QUE EN EL REGISTRO DE PEDIDOS DE STOCK, SE AGREGUEN LAS SGTES COLUMNAS: - COLOR DEL CLIENTE - CLIENTE POR CADA BOLSA DEL STOCK</t>
  </si>
  <si>
    <t>SE REALIZA EL DESARROLLO SOLICITADO</t>
  </si>
  <si>
    <t>SE SOLICITA MODIFICAR EL REPORTE DE ESTADISTICO PERSONAL ANUAL POR SEXO  ASISMIMO LA CONDICION DE CON O SIN PRACTICANTES.</t>
  </si>
  <si>
    <t>SE AGREGA EL RESUMEN EN EL REPORTE SOLICITADO</t>
  </si>
  <si>
    <t>SRA MARIA  SE SOLICITA VERIFICAR Y VALIDAR LOS ASIENTOS DE EGRESOS POR QUE CUANDO ESTA CERRADO EL PARAMETRO DE CAJA PERMITE DESCONTABILIZAR LOS ASIENTOS Y ANULAR PASE. CUANDO QUIERO VISUALIZAR EL DETALLE DEL ASIENTO NO SE PUEDE VOUCHE 2-120219.</t>
  </si>
  <si>
    <t>SE MODIFICA FORMULARIO QUE DESCONTABILIZA LOS ASIENTOS ADICIONANDO EL CONTROL DE CIERRE DE CAJA, AL IGUAL SE MODIFICA EL FORMULARIO DE ANULACION DEL PASE A CONTABILIDAD</t>
  </si>
  <si>
    <t>CARBAJAL SANCHEZ ROSE MARIE</t>
  </si>
  <si>
    <t>SE SOLICITA MOSTRAR LA SUMATORIA DE % DE COLORANTES EN EL CALCULO DE RECETAS (EN USO), SEGUN LOS COLORANTES DE LA RECETA MAESTRA</t>
  </si>
  <si>
    <t>SE SOLICITA COLOCAR COMO CAMPO OBLIGATORIO EL FLUJO DE EFECTIVO EN LA BASE DE DATOS DE LOGISTICA PARA EVITAR QUE ALGUNOS PAGOS ESTEN SALIENDO SIN DETALLE DE FLUJO. SE SOLICITA LA RELACION DE PROVEEDORES QUE ESTAN SIN FLUJO. ADEMAS SE SOLICITA AGRANDAR LA COLUMNA DEL VOUCHER EN EL DETALLE DE FLUJO.</t>
  </si>
  <si>
    <t>SE MODIFICA MAESTRO DE PROVEEDORES COLOCANDO COMO OBLIGATORIO  EL CODIGO DE FLUJO EFECTIVO, SE ENVÍA POR CORREO LA RELACIÓN DE PROVEEDORES SIN FLUJO EFECTIVO, SE MODIFICA REPORTE DE FLUJO EFECTIVO</t>
  </si>
  <si>
    <t>SOLICITO QUE EL CODIGO DE COLOR COLONIAL SE VISUALICE EN LA IMPRESIÓN DE SOLICITUD DE MUESTRAS</t>
  </si>
  <si>
    <t>SE AGREGA AL CODIGO DE COLOR</t>
  </si>
  <si>
    <t>LOPEZ CASANA RICARDO EUSEBIO</t>
  </si>
  <si>
    <t>SE SOLICITA OTORGAR EL ACCESO DE REGISTRO A TODAS LA JEFATURAS EN LOS HALLAZGOS REGISTRADOS</t>
  </si>
  <si>
    <t>SE MODIFICA PROGRAMA</t>
  </si>
  <si>
    <t xml:space="preserve">BUENAS TARDES JONATHAN, HAY ALGUNOS LOTES QUE NO RECONOCE EL CUADRO DE SEGUIMIENTO DE HILANDERIA, POR EJEMPLO: 691-A, 1196-MD. LO ANTERIOR ME IMPIDE VER SU HISTORIAL EN EL PROCESO PRODUCTIVO. ADEMÁS, QUISIERA QUE ME AGREGUES LA POSIBILIDAD DE PODER DESCARGAR EN EXCEL TODA LA DATA MOSTRADA EN EL CUADRO CON EL FILTRO DE PEDIDOS YA DESPACHADOS, ESTO CON EL FIN DE OBTENER MI MERMA EN CADA PROCESO PRODUCTIVO Y MÁS QUE TODO CON EL FINAL QUE SERÍA EL DESPACHO. </t>
  </si>
  <si>
    <t>SE AGREGA LA FUNCIONALIDAD DE EXPORTACION A EXCEL</t>
  </si>
  <si>
    <t>MARIA: EL REPORTE VRESVTAGRAL NECESITO QUE SE CORRIJA COMO EL SEGUNDO QUE YA LO REALIZASTES ME ESTÁN DANDO CANTIDADES DIFERENTES , EN EL REPORTE DE EXPORTACION , PROVINCIA Y LOCAL , EL TOTAL , DEBERIA EXCLUIR LOS ANTICIPOS COMO LA OPCIÓN QUE DAS EN EL SEGUNDO REPORTE</t>
  </si>
  <si>
    <t>SE MODIFICA REPORTE ADICIONANDO OPCIÓN</t>
  </si>
  <si>
    <t>BUEN DIA, SE SOLICITA LO SIGUIENTE: - AÑADIR EN LA PESTAÑA DE CONTABILIAD (EXPORTACIONES A EXCEL)  LA OPCION DE DESCARGA 8.2 Y OTRA QUE INDIQUE DESCRAGAR AMBAS (8.1 Y 8.2) -EN EL REGISTRO DE COMPRAS 29 (NO GRAVADOS) QUE EN AUTOMATICO EL ESTADO DE R/C SEA UNICAMENTE CERO, YA QUE SON REGISTROS SIN IGV, POR ENDE EN LA CUENTA DE GASTO SE DESTINARA EL ESTADO RC COMO 4</t>
  </si>
  <si>
    <t>SE MODIFICA REGISTRO DE COMPRAS LIBRO 29 Y SE SE ADICIONA A EXPORTACIONES EXCEL EL REGISTRO SE COMPRAS (MISMO FORMATO QUE REPORTE)  REG.COMPRAS. 8.1, REG.COMPRAS. 8.2, REG.COMPRAS. 8.1 Y LIBRO 29, REG.COMPRAS. 8.1, 8.2 Y LIBRO 29</t>
  </si>
  <si>
    <t>SE SOLICITA AGREGAR LAS DUAS EN LA COLUMNA EXPORTACION DEL REPORTE (RESUMEN COMPRAS: NACIONAL, EXTRANJERO Y PROVINCIAL) LAS CUALES SE OBTENDRAN DEL REGISTRO DE COMPRAS LIBRO 11, CON LAS CUENTA 20204010105 Y QUE LOS TIPOS DE DOCUMENTO SEAN DEL TIPO 50 (50,51,52,53,54) ASIMISMO CAMBIAR EL NOMBRE DE LA COLUMNA DE EXPORTACION A IMPORTACION</t>
  </si>
  <si>
    <t>MARÍA-JONATHAN ESTE TEMA TAMBIÉN LO TOCAMOS ES MUY TEDIOSO REGISTRO DE HEATHERS ME SOLICITA UN CODIGO Y MÁS ADELANTE ME PIDE LA REFERENCIA PERO NO PUEDO SALTEARLO ESTO ME DEMANDA ENTRAR A LA SOLICITUD DE HILANDERÍA VERIFICAR EL CODIGO Y PONERLO CUANDO YO DEBERÍA PONER SOLO LA REFERENCIA. REVISEN POR FAVOR</t>
  </si>
  <si>
    <t>SE REDISEÑA EL FORMULARIO Y SE VALIDA SEGUN LO SOLICITADO</t>
  </si>
  <si>
    <t>MARIA EL COMITÉ ESTA QUE LE SOLICITA ESTA INFORMACIÓN AL SR. FERNANDO RUC, CLIENTES , KILOS DE ALGODÓN, KILOS DE OTRAS FIBRAS, KILOS DE MEZCLA ALG CON OTRA FIBRA, Y OTRAS MEZCLAS</t>
  </si>
  <si>
    <t>SE ADICIONA COLUMNA PARA QUE EL USUARIO ADICIONE LA CLASIFICACION Y SE CREA REPORTE SEGUN LA CLASIFICACION INGRESADA</t>
  </si>
  <si>
    <t>REQUERIMIENTO DE CAMBIOS EN LAS FICHAS TECNICAS QUE SE ENTREGAN A LOS CLIENTES. ALINEADO CADA PARÁMETRO CON SUS NORMATIVAS INTERNACIONALES ESPECÍFICAS: TÍTULO DEL HILO: DETERMINADO BAJO ASTM D1907 / ISO 2060, ASEGURANDO PRECISIÓN ABSOLUTA EN EL PESAJE Y ACONDICIONAMIENTO COMERCIAL. TORSIÓN (TPM/TPP): EVALUADA MEDIANTE LA NORMA ISO 17202 PARA HILOS SENCILLOS, GARANTIZANDO ESTABILIDAD TORSIONAL. PROPIEDADES DE TRACCIÓN: IMPLEMENTACIÓN DE LA NORMA ASTM D2256 PARA EL REPORTE DE TENACIDAD Y ELONGACIÓN, FACTORES CRÍTICOS PARA PREVENIR ROTURAS EN MÁQUINAS CIRCULARES Y RECTILÍNEAS. LUBRICACIÓN Y DESEMPEÑO: INCORPOR MÉTRICAS DE ÍNDICE DE FRICCIÓN (BAJO ASTM D3108) Y UN CONTROL DEL PORCENTAJE DE PARAFINA, REDUCIENDO EL DESGASTE DE AGUJAS Y LA ACUMULACIÓN DE BORRA SIN AFECTAR LA AFINIDAD TINTÓREA. COMPROMISO DE ACONDICIONAMIENTO: TODAS NUESTRAS PRUEBAS SE RIGEN BAJO LA NORMA ASTM D1776, ELIMINANDO VARIACIONES POR HUMEDAD Y GARANTIZANDO LA ENTREGA EXACTA DEL PESO ENVIADO.</t>
  </si>
  <si>
    <t>SE CREA EL FORMATO SOLICITADO, ADICIONALMENTE SE CREA EL REGISTRO DEL CONTROL DEL PARAFINADO PARA QUE PUEDA MOSTRAR SU VALOR EN LA FICHA TECNICA.</t>
  </si>
  <si>
    <t>SRA. MARIA / JONATHAN FAVOR DE ELIMINAR EL ITEM 1 DE LA LISTA YA QUE DESDE 01/02/2026 YA NO SOMOS AGENTES DE RETENCIÓN ESTO NO DEBE APARECER EN LAS OC</t>
  </si>
  <si>
    <t>SE MODIFICA EL FORMATO SOLICITADO</t>
  </si>
  <si>
    <t>BUENAS TARDES JONATHAN,  JASON EN SU MOMENTO HIZO EL REQUERIMIENTO CON INDICACIONES DADAS PARA LA MODIFICACIÓN DEL ENCONADO DE LOS PEDIDOS QUE INGRESABA VENTAS.  EN CASO NO HAYA QUEDADO CLARO, LA IDEA ERA QUE COMERCIAL DESDE QUE INGRESE LOS PEDIDOS TENÍAN QUE ESPECIFICAR EN SUS OPCIONES DE ENCONADO EL FORMATO QUE CORRESPONDÍA. ESTO SE TIENE QUE RAMIFICAR PARA LA PLANTA DE TINTORERÍA E HILANDERÍA O ENFOCADAS A LAS LÍNEAS DE PRODUCCIÓN QUE SE ENCUENTRAN CLASIFICADAS EN EL SISTEMA. ACTUALMENTE, POR DEFECTO TODAS LAS PARTIDAS (TANTO DE HILANDERÍA COMO DE TINTORERÍA) SE ENCUENTRAN CON EL FORMATO 1=1, 1=2 (MÚLTIPLOS) Y CANTIDADES COMO 48, 64, 96. PARA TINTORERÍA, SOLO DEBE FIGURAR LA OPCIÓN DE MÚLTIPLOS, YA QUE, AUNQUE EL LOTE SEA EL MISMO, EL TEÑIDO NUNCA ES 100% UNIFORME DENTRO DE UN RODETE. (INICIO (MAYOR CONTACTO CON EL TEÑIDO), MEDIO (ES LA MÁS ESTABLE) Y FINAL (MENOR RENOVACIÓN DE BAÑO CON POSIBLES VARIACIONES)). ESTO GENERA MICRO DIFERENCIAS DE TONO QUE A SIMPLE VISTA NO SIEMPRE...</t>
  </si>
  <si>
    <t>SE VALIDA LO SOLICITADO EN EL REGISTRO DE PEDIDOS DEL AREA COMERCIAL</t>
  </si>
  <si>
    <t>SRA MARIA  SE SOLICITA AGREGAR EL CENTRO DE COSTO AL REPORTE CONSULTA DE PLANILLA.</t>
  </si>
  <si>
    <t>SE ADICIONO C.COSTO SEGUN LA PLANILLA PROCESADA</t>
  </si>
  <si>
    <t>GOMEZ HINOJOSA MARIA FERNANDA</t>
  </si>
  <si>
    <t>AL IMPRIMIR LOS PEDIDOS, LA DESCRIPCIÓN DEL ARTÍCULO SALE INCOMPLETO Y EL CLIENTE NO PUEDE VER A MAYOR DETALLE LO COMPRADO.</t>
  </si>
  <si>
    <t>SE MODIFICA EL REPORTE DE LOS PEDIDOS EXPANDIENDO SEGUN LA DESCRIPCION DEL ARTICULO</t>
  </si>
  <si>
    <t>ALERTA DE REMUNERACION MAXIMA ASEGURABLE QUE NOS COMUNIQUE CADA 3 MESES PARA PODER CAMBIAR EN EL SISTEMA Y ASÍ REALICE LOS DESCUENTOS DE AFP TOPE Y POLIZA SCTR Y VIDA LEY.  DICHO ALERTA DEBE SER CADA TRIMESTRE EN EL AÑO</t>
  </si>
  <si>
    <t>SE ADICIONA LA FECHA DE VIGENCIA EN LOS CONCEPTOS CON TOPE MAXIMO DE LAS APORTACIONES Y SE MODIFICA LA FORMA DE ACCESO AL SISTEMA ADICIONANDO EL CONTROL PARA ENVIO DE CORREO AL USUARIO DE KARINA HOLGUIN</t>
  </si>
  <si>
    <t>SE SOLICITA DESARROLLAR UN CORREO DE AVISO PARA LAS AREAS INVOLUCRADAS CON LA SIGUIENTE INFORMACION: LISTADO DE SOLICITUDES DE TINTORERIA CON PEDIDO Y SIN CODIGO DE COLOR. DICHO AVISO SE ENVIARA A PRIMERA HORA TODOS LOS DIAS</t>
  </si>
  <si>
    <t>SE DESARROLLA EL AVISO PARA EL USUARIO TINTOCAL3 EN EL PRIMER INGRESO DEL DIA AL SISTEMA LOGIX</t>
  </si>
  <si>
    <t>SE SOLICITA ADICIONAR A LA VENTANA DE "EVALUACION DE PARTIDAS COMERCIAL" EL BOTON DE "RECHAZAR".</t>
  </si>
  <si>
    <t>SE AGREGA LA OPCION DEL RECHAZO DE LA EVALUACION POR PARTE DEL CLIENTE, EL CUAL SOLO ENVIARA UN EMAIL A LOS INTERESADOS, ASIMISMO GUARDARA UN INDICADOR DE QUE DICHA EVALUACION FUE RECHAZADA</t>
  </si>
  <si>
    <t>SRA. MARIA  SE SOLICITA QUE A PARTIR DEL MES DE FEBRERO LOS PAGOS QUE SE REALICEN POR EL MODULO DE TESORERIA NO DEBEN DESCONTAR LA RETENCION .</t>
  </si>
  <si>
    <t>SE ADICIONA PARAMETRO DE CONTROL Y SE MODIFICA VISTAS, FORMAS Y PROCEDIMIENTOS</t>
  </si>
  <si>
    <t>JONATHAN BS DS SE SOLICITA INGRESAR UNA COLUMNA DE FECHA DE INGRESO DEL PEDIDO DE PCP AL LABORATORIO AL REPORTE DE VALIDACION DE RECETAS, ESPECIFICAMENTE LA FECHA EN LA QUE PONE QUE "TIENE MATERIAL"</t>
  </si>
  <si>
    <t>SE REQUIERE VISUALIZAR AQUELLOS PEDIDOS QUE NO  TENGAN PARTIDA EN EL ANALISIS DEL PEDIDO PARA PODER VISUALIZAR EN QUE SITUACION SE ENCUENTRAN</t>
  </si>
  <si>
    <t>SE CREA VISTA CON LOS DATOS DE PARTIDAS, PROGRAMACION Y PEDIDOS PARA PUEDAN SER VISUALIZADOS EN EL ANALISIS DE PARTIDAS</t>
  </si>
  <si>
    <t>BUENAS TARDES JONATHAN, MODIFICAR EL REPORTE "PARTIDAS PENDIENTES DE ENCONADO" (PPARTPENDENC). 1. EN EL REPORTE NO DEBE FIGURAR LAS PARTIDAS QUE ESTÁN PENDIENTES DE ACABADO EN MADEJA. SOLO DEBERÍA FIGURAR EN SU 2 PROCESO DE SECADO (SECADORA MINNETTI - S04) LUEGO DE REALIZAR EL ACABADO DE MADEJAS.  2. EN EL RESUMEN DE "MATERIAL POP APROBAR" DEBE CLASIFICARSE EN:      - PARTIDAS SECADAS PENDIENTES DE EVALUACIÓN.     - PARTIDAS EN EVALUACIÓN.     - PARTIDAS EN CONSULTA.     - PARTIDAS RECHAZADAS.</t>
  </si>
  <si>
    <t>SE VALIDA LO SOLICITADO Y SE AGREGA EL BLOQUE DE INFORMACION SOBRE EL MATERIAL POR EVALUAR</t>
  </si>
  <si>
    <t>TAYA CISNEROS MARIELA</t>
  </si>
  <si>
    <t>SE SOLICITA DESARROLLAR EL REGISTRO DE CONTROL DE PARAFINAS</t>
  </si>
  <si>
    <t>SE DESARROLLA EL MODULO SOLICITADO</t>
  </si>
  <si>
    <t>SE ENTREGA TABLA DE TORSION DE CONTINUA SUESSEN PARA REALIZAR O CREAR EL FORMATO PARA CAMBIOS EN CONTINUA.</t>
  </si>
  <si>
    <t>SE ADICIONA MAESTRO DE TABLAS C_CTCALIDAD PARA MANEJO DE RECETAS DE CAMBIO EN HILANDERIA</t>
  </si>
  <si>
    <t xml:space="preserve">BUENAS TARDES, JONATHAN: POR MEDIO DEL PRESENTE, SOLICITO REALIZAR UNA MODIFICACIÓN EN EL FORMATO DE LAS RECETAS DEL ÁREA DE HILANDERÍA. ESPECÍFICAMENTE, EN LA SECCIÓN CORRESPONDIENTE AL REGISTRO DE BOLSAS POR PESADOR, SE REQUIERE INCORPORAR UNA NUEVA COLUMNA DENOMINADA "FIRMA SUPERVISOR". EL OBJETIVO DE ESTA ACTUALIZACIÓN ES FORTALECER EL CONTROL Y TRAZABILIDAD EN LA ETAPA INICIAL DEL PROCESO PRODUCTIVO, ASEGURANDO UNA VERIFICACIÓN DE LAS BOLSAS PESADAS POR CADA OPERARIO Y DEJANDO CONSTANCIA LA FIRMA DEL SUPERVISOR DEL TURNO. ADICIONALMENTE, SOLICITO AGREGAR DOS FILAS MÁS EN DICHA SECCIÓN, CONSIDERANDO QUE EN PEDIDOS DE MAYOR VOLUMEN SE REQUIERE REGISTRAR MÁS DE TRES ÍTEMS PARA LA CORRECTA CONTABILIZACIÓN DE LAS BOLSAS POR OPERARIO.  MAYOR DETALLE EN EL CORREO, GRACIAS. </t>
  </si>
  <si>
    <t>SE HABILITA LA COLUMNA SOLICITADA</t>
  </si>
  <si>
    <t>SE REQUIERE REPORTE DE LOS EVALUADORES  Y EL PERSONAL SUPEDITADO POR CENTRO DE COSTO, ADJUNTO MODELO POR CORREO</t>
  </si>
  <si>
    <t>SE CREA LA EXPORTACION SOLICITADA</t>
  </si>
  <si>
    <t>SE REQUIERE QUE SE IMPRIMA  EN LA ETIQUETA DE LAS CAJA DE COLORANTES EL CODIGO DE BARRA DEL ARTICULO Y LOTE PROVEEDOR (ORGATEX)</t>
  </si>
  <si>
    <t>SE MODIFICO FORMULARIO ADICIONANDO LA IMPRESIÓN DEL CODIGO DE BARRA DEL ARTICULO Y LOTE PROV</t>
  </si>
  <si>
    <t>FAVOR DE AGREGAR OPCION DE ANTICIPOS EN EL TABLERO DE PEDIDOS DE STOCK ASÍ MISMO UN CHECK PARA SELECCIONAR TODOS LAS BOLSAS DE UN ARTÍCULO EN CONSULTA</t>
  </si>
  <si>
    <t>SE AGREGA LA FUNCIONALIDAD DE MARCAR TODOS LOS ITEMS DEL BLOQUE DE ETIQUETAS, ASIMISMO SE HABILITA EL BOTON PARA ABRIR LA FORMA DE ANTICIPOS</t>
  </si>
  <si>
    <t>JONATHAN HABLAMOS DE ESTO, ME AYUDA PARA TODOS LOS CLIENTES PERO SOBRE TODO PARA LACOSTE RESPECTO A LA TRAZBILIDAD DE LA PARTIDA MADRE DE DESPACHO, ESTO DEBE SER TODO EN UNA SOLA CELDA EJ 88022.1-2-3 , ASÍ MISMO LA FECHA DEL DESPACHO DE LAS PARTIDAS GENERADAS PARA CLIENTE PERSE TU AYUDA CON ESO. SI HAY DUDA AVISAR. APROVECHANDO : PONER EL VALOR DEL COSTO / KG DEL ARTÍCULO, SI BIEN ESTA EL MONTO TOTAL Y POR MI MACRO HAGO LA DIVISION CON EL PESO ASÍ OBTENGO EL PRECIO /KG, EN LOS CASOS QUE EL VALOR DEL ARTICULO  ES SOLES LA FORMULA ME DEJA MUCHOS DECIMALES YA QUE LO JALO DEL VALOR TOTAL EN DOLARES QUE ES POR LO GENERAL QUE SE VENDE. PEDIDOS-REPORTE-VALORIZADO EN EXCEL</t>
  </si>
  <si>
    <t>SE CREA EL FORMULARIO DE EXPORTACION DE LA INFORMACION SOLICITADA</t>
  </si>
  <si>
    <t>ADICIONAR EL NOMBRE DEL CLIENTE AL MOMENTO DE IMPRIMIR EL RANKING DE MATERIALES POR AÑO</t>
  </si>
  <si>
    <t>SE AGREGA LA DESCRIPCION DEL CLIENTE FILTRADO EN LOS PARAMETROS DE BUSQUEDA DEL REPORTE</t>
  </si>
  <si>
    <t>JONATHAN SE SOLICITA AGREGAR LAS OBSERVACIONES DE LA PANTALLA DE CONTROL DE CALIDAD TINTORERIA, EN EL CORREO QUE LLEGAN A LOS INVOLUCRADOS CUANDO SE RECHAZA UN PEDIDO</t>
  </si>
  <si>
    <t>SE HABILITA EN EL MENSAJE DE CORREO EL DETALLE DE LAS OBSERVACIONES DEL TECNICO EVALUADOR</t>
  </si>
  <si>
    <t xml:space="preserve">EN LA IMPRESIÓN DE LA FICHA TÉCNICA, PODRÍAMOS REDUCIR EL TAMAÑO DE LOS LOGOS DE LOS CERTIFICADOS PARA ASÍ TENER MÁS ESPACIO PARA LA FICHA TÉCNICA, SE VE MUY JUNTO EL CUERPO.  </t>
  </si>
  <si>
    <t>MARCOS CAHUAZA DIANA LUCIA</t>
  </si>
  <si>
    <t>HOLA JONATHAN; SE SOLICITA AJUSTAR REPORTE, PARA QUE SE PUEDA VISUALIZAR EL ÍTEM DE LA REFERENCIA Y NO APAREZCA COMO ASTERISCOS. ADICIONAL A ELLO, SE PODRÍA AGREGAR UNA COLUMNA QUE INDIQUE LA INTENSIDAD DE COLOR? ME AYUDARÍA BASTANTE, YA QUE TENGO QUE REALIZAR DOBLE BÚSQUEDA ACTUALMENTE PARA PODER SABER LA INTENSIDAD.</t>
  </si>
  <si>
    <t>SE AGREGA LA COLUMNA DE INTENSIDAD</t>
  </si>
  <si>
    <t>JONATHAN BS DS DESEAMOS AGREGAR, DESDE LA VENTANA DE VALIDACIÓN DE RECETA, LA TEMPERATURA Y QUE SE VISUALICE EN EL ENCABEZADO  DEL ANÁLISIS DE PARTIDA. MOTIVO, NO SE REGISTRA LA TEMPERATURA DE TEÑIDO, SOLO LA UBICAMOS EN LA CURVA, EL FORMATO DE LAS CORRIDAS Y EN EL FORMATO DE PLANTA LUEGO SE PIERDE LA INFORMACIÓN PARA LABORATORIO.</t>
  </si>
  <si>
    <t>SE AGREGA EL CAMPO "TEMPERATURA TEÑIDO" AL REGISTRO DE VALIDACION DE RECETA, Y SE PUEDE VISUALIZAR EN EL TICKET DE VALIDACION</t>
  </si>
  <si>
    <t>CREACION DE REPORTE ESTADISCTICO DE REQ. PENDIENTES VS ENTREGADOS ANUAL</t>
  </si>
  <si>
    <t>ESTADO</t>
  </si>
  <si>
    <t>2</t>
  </si>
  <si>
    <t>1</t>
  </si>
  <si>
    <t>BUENAS TARDES JONATHAN, ME PERMITO SOLICITAR LA INCORPORACIÓN DE UNA FUNCIONALIDAD EN LA PANTALLA DE PESAJE UTILIZADA POR LOS OPERARIOS DE PESAJE, ESPECÍFICAMENTE LA VISUALIZACIÓN DEL ACUMULADO EN KILOGRAMOS (KG), HUSOS INACTIVOS(HI), HORA INICIAL Y FINAL CORRESPONDIENTE A LAS PARADAS TOTALES ASOCIADAS A PEDIDOS ESPECIALES. ESTA FUNCIONALIDAD PERMITIRÁ LLEVAR UN MEJOR CONTROL DEL PESO ACUMULADO PARA ESTE TIPO DE PEDIDOS EN CUANTO A TÍTULO Y LOTE. EN EL CASO DE LA PRODUCCIÓN EN LÍNEA -YA SEA PARA PRODUCTOS TIPO AKALA O AMERICANO - CONSIDERO QUE NO SERÍA APROPIADO MOSTRAR LOS KILOGRAMOS TOTALES, YA QUE ESTO PODRÍA DAR LUGAR A UNA INTERPRETACIÓN ERRÓNEA DE UNA POSIBLE SOBREACUMULACIÓN POR LOTE. SIN EMBARGO, SÍ SERÍA ÚTIL VISUALIZAR LAS ÚLTIMAS 10 PARADAS REALIZADAS SEA PRODUCCIÓN EN LÍNEA O PEDIDOS ESPECIALES, SOBREPASANDO ESTA QUE MUESTRE DESPUÉS DEL 2-11, 3-12 . 4-13 CONSECUENTEMENTE ENVIE CORREO PARA EL DETALLADO, GRACIAS.</t>
  </si>
  <si>
    <t>NO PROCEDE POR FALTA INFORMACIÓN EN EL REGISTRO DE PRODUCCION</t>
  </si>
  <si>
    <t>9</t>
  </si>
  <si>
    <t>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9) CERTIFICADO GOTS EVALUAR LA INTEGRACIÓN Y DISPONIBILIDAD DEL CERTIFICADO GOTS EN EL SISTEMA, PARA FACILITAR SU CONSULTA Y VALIDACIÓN DURANTE EL PROCESO COMERCIAL.</t>
  </si>
  <si>
    <t>BUEN DÍA JONATHAN, POR FAVOR CREARME UN REGISTRO DE PRODUCCIÓN DE PAROS DE MÁQUINAS TAL CUAL ESTÁ EN LOS DATOS ADJUNTOS DEL EXCEL, EN ESTE SE DETALLAN TODAS LAS FÓRMULAS PARA LA CREACIÓN DE ESTA MISMA. EN EL CORREO ESTA EK EXCEL CON TODAS LAS FORMULAS QUE SOLICITO.</t>
  </si>
  <si>
    <t>ANULADO POR FALTA DE DECISION</t>
  </si>
  <si>
    <t>JONATHAN SE SOLICITA LO SIGUIENTE: *REALIZACION DE UNA PRE GUIA PARA QUE ESTHEFANY PUEDA REALIZAR LA RECETA A LA SUPERVISION FUERA DE SU HORARIO *PERMITIR REALIZAR LA MODIFICACION DE LOS PORCENTAJES DE LOS COLORANTES EN EL CALCULO DE RECETA</t>
  </si>
  <si>
    <t>% DE ATENCION</t>
  </si>
  <si>
    <t>ATENCION 2026</t>
  </si>
  <si>
    <t>REQ.2026</t>
  </si>
  <si>
    <t>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</si>
</sst>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
  </numFmts>
  <fonts count="6" x14ac:knownFonts="1">
    <font>
      <sz val="10"/>
      <color indexed="8"/>
      <name val="Arial"/>
    </font>
    <font>
      <sz val="10"/>
      <color indexed="8"/>
      <name val="Arial"/>
      <family val="2"/>
    </font>
    <font>
      <sz val="10"/>
      <color indexed="8"/>
      <name val="Arial"/>
      <family val="2"/>
    </font>
    <font>
      <sz val="10"/>
      <color indexed="8"/>
      <name val="Arial"/>
      <family val="2"/>
    </font>
    <font>
      <b/>
      <sz val="10"/>
      <color indexed="8"/>
      <name val="Arial"/>
      <family val="2"/>
    </font>
    <font>
      <b/>
      <sz val="12"/>
      <color indexed="8"/>
      <name val="Arial"/>
      <family val="2"/>
    </font>
  </fonts>
  <fills count="5">
    <fill>
      <patternFill patternType="none"/>
    </fill>
    <fill>
      <patternFill patternType="gray125"/>
    </fill>
    <fill>
      <patternFill patternType="solid">
        <fgColor indexed="22"/>
        <bgColor indexed="9"/>
      </patternFill>
    </fill>
    <fill>
      <patternFill patternType="solid">
        <fgColor theme="4" tint="0.39997558519241921"/>
        <bgColor indexed="64"/>
      </patternFill>
    </fill>
    <fill>
      <patternFill patternType="solid">
        <fgColor theme="4" tint="0.79998168889431442"/>
        <bgColor indexed="64"/>
      </patternFill>
    </fill>
  </fills>
  <borders count="16">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right/>
      <top style="thin">
        <color rgb="FFABABAB"/>
      </top>
      <bottom/>
      <diagonal/>
    </border>
    <border>
      <left style="thin">
        <color rgb="FFABABAB"/>
      </left>
      <right style="thin">
        <color rgb="FFABABAB"/>
      </right>
      <top style="thin">
        <color indexed="65"/>
      </top>
      <bottom/>
      <diagonal/>
    </border>
    <border>
      <left style="thin">
        <color rgb="FFABABAB"/>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rgb="FFABABAB"/>
      </right>
      <top style="thin">
        <color indexed="64"/>
      </top>
      <bottom style="thin">
        <color indexed="65"/>
      </bottom>
      <diagonal/>
    </border>
  </borders>
  <cellStyleXfs count="2">
    <xf numFmtId="0" fontId="0" fillId="0" borderId="0"/>
    <xf numFmtId="9" fontId="3" fillId="0" borderId="0"/>
  </cellStyleXfs>
  <cellXfs count="53">
    <xf numFmtId="0" fontId="0" fillId="0" borderId="0" xfId="0"/>
    <xf numFmtId="0" fontId="1" fillId="2" borderId="0" xfId="0" applyFont="1" applyFill="1" applyAlignment="1">
      <alignment horizontal="center" vertical="top"/>
    </xf>
    <xf numFmtId="0" fontId="2" fillId="0" borderId="0" xfId="0" applyNumberFormat="1" applyFont="1" applyAlignment="1">
      <alignment horizontal="center" vertical="top"/>
    </xf>
    <xf numFmtId="3" fontId="2" fillId="0" borderId="0" xfId="0" applyNumberFormat="1" applyFont="1" applyAlignment="1">
      <alignment horizontal="center" vertical="top"/>
    </xf>
    <xf numFmtId="3" fontId="2" fillId="0" borderId="0" xfId="0" applyNumberFormat="1" applyFont="1" applyAlignment="1">
      <alignment horizontal="left" vertical="top" wrapText="1"/>
    </xf>
    <xf numFmtId="0" fontId="1" fillId="2" borderId="0" xfId="0" applyFont="1" applyFill="1" applyAlignment="1">
      <alignment horizontal="left" vertical="top"/>
    </xf>
    <xf numFmtId="3" fontId="2" fillId="0" borderId="0" xfId="0" applyNumberFormat="1" applyFont="1" applyAlignment="1">
      <alignment horizontal="left" vertical="top"/>
    </xf>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2" xfId="0" pivotButton="1" applyBorder="1"/>
    <xf numFmtId="0" fontId="0" fillId="0" borderId="7" xfId="0" applyBorder="1"/>
    <xf numFmtId="0" fontId="0" fillId="0" borderId="8" xfId="0" applyBorder="1"/>
    <xf numFmtId="0" fontId="0" fillId="0" borderId="8" xfId="0" applyNumberFormat="1" applyBorder="1"/>
    <xf numFmtId="0" fontId="5" fillId="3" borderId="8" xfId="0" applyFont="1" applyFill="1" applyBorder="1" applyAlignment="1">
      <alignment horizontal="center" vertical="center"/>
    </xf>
    <xf numFmtId="0" fontId="0" fillId="4" borderId="8" xfId="0" applyFill="1" applyBorder="1"/>
    <xf numFmtId="0" fontId="4" fillId="0" borderId="8" xfId="0" applyNumberFormat="1" applyFont="1" applyBorder="1"/>
    <xf numFmtId="0" fontId="0" fillId="4" borderId="11" xfId="0" applyFill="1" applyBorder="1"/>
    <xf numFmtId="0" fontId="0" fillId="4" borderId="9" xfId="0" applyFill="1" applyBorder="1" applyAlignment="1">
      <alignment wrapText="1"/>
    </xf>
    <xf numFmtId="0" fontId="0" fillId="4" borderId="12" xfId="0" applyFill="1" applyBorder="1" applyAlignment="1">
      <alignment wrapText="1"/>
    </xf>
    <xf numFmtId="0" fontId="0" fillId="4" borderId="10" xfId="0" applyFill="1" applyBorder="1" applyAlignment="1">
      <alignment wrapText="1"/>
    </xf>
    <xf numFmtId="0" fontId="5" fillId="0" borderId="0" xfId="0" applyFont="1"/>
    <xf numFmtId="0" fontId="4" fillId="0" borderId="14" xfId="0" applyNumberFormat="1" applyFont="1" applyBorder="1"/>
    <xf numFmtId="0" fontId="5" fillId="4" borderId="8" xfId="0" applyFont="1" applyFill="1" applyBorder="1" applyAlignment="1">
      <alignment horizontal="right"/>
    </xf>
    <xf numFmtId="0" fontId="1" fillId="3" borderId="0" xfId="0" applyFont="1" applyFill="1" applyAlignment="1">
      <alignment horizontal="center"/>
    </xf>
    <xf numFmtId="0" fontId="1" fillId="3" borderId="8" xfId="0" applyFont="1" applyFill="1" applyBorder="1"/>
    <xf numFmtId="0" fontId="1" fillId="3" borderId="8" xfId="0" applyFont="1" applyFill="1" applyBorder="1" applyAlignment="1">
      <alignment horizontal="right"/>
    </xf>
    <xf numFmtId="0" fontId="1" fillId="0" borderId="8" xfId="0" applyFont="1" applyBorder="1"/>
    <xf numFmtId="9" fontId="3" fillId="0" borderId="8" xfId="1" applyBorder="1"/>
    <xf numFmtId="0" fontId="4" fillId="0" borderId="8" xfId="0" applyFont="1" applyBorder="1"/>
    <xf numFmtId="0" fontId="4" fillId="0" borderId="8" xfId="0" applyFont="1" applyBorder="1" applyAlignment="1">
      <alignment wrapText="1"/>
    </xf>
    <xf numFmtId="0" fontId="1" fillId="2" borderId="0" xfId="0" applyFont="1" applyFill="1" applyAlignment="1">
      <alignment vertical="top"/>
    </xf>
    <xf numFmtId="0" fontId="1" fillId="2" borderId="0" xfId="0" applyFont="1" applyFill="1" applyAlignment="1">
      <alignment vertical="top" wrapText="1"/>
    </xf>
    <xf numFmtId="0" fontId="5" fillId="4" borderId="8" xfId="0" applyFont="1" applyFill="1" applyBorder="1" applyAlignment="1">
      <alignment horizontal="center" vertical="center" wrapText="1"/>
    </xf>
    <xf numFmtId="0" fontId="0" fillId="0" borderId="0" xfId="0" applyBorder="1"/>
    <xf numFmtId="0" fontId="4" fillId="0" borderId="0" xfId="0" applyFont="1" applyBorder="1"/>
    <xf numFmtId="0" fontId="4" fillId="4" borderId="8" xfId="0" applyFont="1" applyFill="1" applyBorder="1"/>
    <xf numFmtId="0" fontId="0" fillId="4" borderId="6" xfId="0" applyFill="1" applyBorder="1"/>
    <xf numFmtId="0" fontId="4" fillId="4" borderId="13" xfId="0" applyFont="1" applyFill="1" applyBorder="1"/>
    <xf numFmtId="0" fontId="4" fillId="4" borderId="15" xfId="0" applyFont="1" applyFill="1" applyBorder="1"/>
    <xf numFmtId="0" fontId="0" fillId="4" borderId="5" xfId="0" applyFill="1" applyBorder="1"/>
    <xf numFmtId="0" fontId="1" fillId="0" borderId="8" xfId="0" applyFont="1" applyBorder="1" applyAlignment="1">
      <alignment vertical="top"/>
    </xf>
    <xf numFmtId="164" fontId="1" fillId="0" borderId="8" xfId="0" applyNumberFormat="1" applyFont="1" applyBorder="1" applyAlignment="1">
      <alignment vertical="top"/>
    </xf>
    <xf numFmtId="0" fontId="1" fillId="0" borderId="8" xfId="0" applyFont="1" applyBorder="1" applyAlignment="1">
      <alignment vertical="top" wrapText="1"/>
    </xf>
    <xf numFmtId="0" fontId="1" fillId="2" borderId="0" xfId="0" applyNumberFormat="1" applyFont="1" applyFill="1" applyAlignment="1">
      <alignment vertical="top"/>
    </xf>
    <xf numFmtId="0" fontId="1" fillId="0" borderId="8" xfId="0" applyNumberFormat="1" applyFont="1" applyBorder="1" applyAlignment="1">
      <alignment vertical="top"/>
    </xf>
    <xf numFmtId="0" fontId="1" fillId="0" borderId="8" xfId="0" applyFont="1" applyBorder="1" applyAlignment="1">
      <alignment horizontal="center" vertical="top"/>
    </xf>
    <xf numFmtId="9" fontId="5" fillId="0" borderId="8" xfId="1" applyFont="1" applyBorder="1" applyAlignment="1">
      <alignment horizontal="center" vertical="center"/>
    </xf>
    <xf numFmtId="0" fontId="1" fillId="0" borderId="8" xfId="0" applyFont="1" applyBorder="1" applyAlignment="1">
      <alignment horizontal="left" vertical="top"/>
    </xf>
    <xf numFmtId="0" fontId="0" fillId="0" borderId="0" xfId="0" applyAlignment="1">
      <alignment horizontal="left" vertical="top"/>
    </xf>
    <xf numFmtId="0" fontId="0" fillId="4" borderId="1" xfId="0" applyFill="1" applyBorder="1"/>
  </cellXfs>
  <cellStyles count="2">
    <cellStyle name="Normal" xfId="0" builtinId="0"/>
    <cellStyle name="Porcentaje" xfId="1" builtinId="5"/>
  </cellStyles>
  <dxfs count="71">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b/>
        <family val="2"/>
      </font>
    </dxf>
    <dxf>
      <font>
        <b/>
        <family val="2"/>
      </font>
    </dxf>
    <dxf>
      <alignment wrapText="1"/>
    </dxf>
    <dxf>
      <border>
        <left/>
        <right/>
        <top/>
        <bottom/>
        <vertical/>
      </border>
    </dxf>
    <dxf>
      <alignment wrapText="1"/>
    </dxf>
    <dxf>
      <border>
        <left/>
        <right/>
        <top/>
        <bottom/>
        <vertical/>
      </border>
    </dxf>
    <dxf>
      <border>
        <left/>
        <top/>
        <bottom/>
        <vertical/>
      </border>
    </dxf>
    <dxf>
      <border>
        <right/>
        <top/>
        <bottom/>
        <vertical/>
      </border>
    </dxf>
    <dxf>
      <alignment wrapText="1"/>
    </dxf>
    <dxf>
      <alignment wrapText="1"/>
    </dxf>
    <dxf>
      <alignment wrapText="1"/>
    </dxf>
    <dxf>
      <border>
        <left style="thin">
          <color indexed="64"/>
        </left>
        <right style="thin">
          <color indexed="64"/>
        </right>
        <top style="thin">
          <color indexed="64"/>
        </top>
        <bottom style="thin">
          <color indexed="64"/>
        </bottom>
      </border>
    </dxf>
    <dxf>
      <font>
        <b/>
      </font>
    </dxf>
    <dxf>
      <font>
        <b/>
        <family val="2"/>
      </font>
    </dxf>
    <dxf>
      <font>
        <b/>
        <family val="2"/>
      </font>
    </dxf>
    <dxf>
      <fill>
        <patternFill patternType="solid">
          <bgColor theme="4" tint="0.79998168889431442"/>
        </patternFill>
      </fill>
    </dxf>
    <dxf>
      <fill>
        <patternFill patternType="solid">
          <bgColor theme="4" tint="0.79998168889431442"/>
        </patternFill>
      </fill>
    </dxf>
    <dxf>
      <border>
        <left/>
        <right/>
        <top/>
        <bottom/>
      </border>
    </dxf>
    <dxf>
      <border>
        <left/>
        <right/>
        <top/>
        <bottom/>
      </border>
    </dxf>
    <dxf>
      <border>
        <top style="thin">
          <color indexed="64"/>
        </top>
      </border>
    </dxf>
    <dxf>
      <border>
        <top style="thin">
          <color indexed="64"/>
        </top>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top style="thin">
          <color indexed="64"/>
        </top>
      </border>
    </dxf>
    <dxf>
      <border>
        <top style="thin">
          <color indexed="64"/>
        </top>
      </border>
    </dxf>
    <dxf>
      <border>
        <left/>
        <right/>
        <top/>
        <bottom/>
      </border>
    </dxf>
    <dxf>
      <border>
        <left/>
        <right/>
        <top/>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ont>
        <b/>
      </font>
    </dxf>
    <dxf>
      <border>
        <left style="thin">
          <color indexed="64"/>
        </left>
        <right style="thin">
          <color indexed="64"/>
        </right>
        <top style="thin">
          <color indexed="64"/>
        </top>
        <bottom style="thin">
          <color indexed="64"/>
        </bottom>
      </border>
    </dxf>
    <dxf>
      <alignment wrapText="1"/>
    </dxf>
    <dxf>
      <alignment wrapText="1"/>
    </dxf>
    <dxf>
      <alignment wrapText="1"/>
    </dxf>
    <dxf>
      <border>
        <right/>
        <top/>
        <bottom/>
        <vertical/>
      </border>
    </dxf>
    <dxf>
      <border>
        <left/>
        <top/>
        <bottom/>
        <vertical/>
      </border>
    </dxf>
    <dxf>
      <border>
        <left/>
        <right/>
        <top/>
        <bottom/>
        <vertical/>
      </border>
    </dxf>
    <dxf>
      <alignment wrapText="1"/>
    </dxf>
    <dxf>
      <border>
        <left/>
        <right/>
        <top/>
        <bottom/>
        <vertical/>
      </border>
    </dxf>
    <dxf>
      <alignment wrapText="1"/>
    </dxf>
    <dxf>
      <font>
        <b/>
        <family val="2"/>
      </font>
    </dxf>
    <dxf>
      <font>
        <b/>
        <family val="2"/>
      </font>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250_01" refreshedDate="46108.139679629632" createdVersion="8" refreshedVersion="8" recordCount="137" xr:uid="{0A4F10CB-2677-45A1-9D41-8C10DA12B677}">
  <cacheSource type="worksheet">
    <worksheetSource ref="A1:J65536" sheet="DATA_DESARROLLO"/>
  </cacheSource>
  <cacheFields count="13">
    <cacheField name="NUMERO" numFmtId="0">
      <sharedItems containsString="0" containsBlank="1" containsNumber="1" containsInteger="1" minValue="18142" maxValue="20014"/>
    </cacheField>
    <cacheField name="C_NOMBRE" numFmtId="0">
      <sharedItems containsBlank="1"/>
    </cacheField>
    <cacheField name="C_COSTO" numFmtId="0">
      <sharedItems containsBlank="1"/>
    </cacheField>
    <cacheField name="NOMBRE" numFmtId="0">
      <sharedItems containsBlank="1" count="14">
        <s v="VENTAS Y SERVICIOS"/>
        <s v="ALMACEN TINTES Y QUIMICOS"/>
        <s v="C.CALIDAD HILANDERIA"/>
        <s v="CONTABILIDAD"/>
        <s v="CONTROL DE LA PRODUCCION"/>
        <s v="LABORATORIO TINTORERIA"/>
        <s v="SISTEMAS"/>
        <s v="RR.II."/>
        <s v="TINTORERIA GENERAL"/>
        <s v="ADMINISTRACION"/>
        <s v="COBRANZA"/>
        <s v="SEGURIDAD INDUSTRIAL"/>
        <s v="MANTENIMIENTO HILANDERIA"/>
        <m/>
      </sharedItems>
    </cacheField>
    <cacheField name="FECHA" numFmtId="0">
      <sharedItems containsNonDate="0" containsDate="1" containsString="0" containsBlank="1" minDate="2024-03-05T00:00:00" maxDate="2026-03-27T00:00:00" count="72">
        <d v="2026-03-18T00:00:00"/>
        <d v="2026-03-25T00:00:00"/>
        <d v="2026-03-12T00:00:00"/>
        <d v="2026-01-13T00:00:00"/>
        <d v="2026-02-23T00:00:00"/>
        <d v="2026-02-04T00:00:00"/>
        <d v="2026-02-26T00:00:00"/>
        <d v="2026-03-04T00:00:00"/>
        <d v="2026-02-13T00:00:00"/>
        <d v="2026-01-06T00:00:00"/>
        <d v="2026-02-12T00:00:00"/>
        <d v="2026-02-10T00:00:00"/>
        <d v="2026-01-12T00:00:00"/>
        <d v="2026-01-15T00:00:00"/>
        <d v="2026-01-05T00:00:00"/>
        <d v="2026-02-05T00:00:00"/>
        <d v="2026-01-30T00:00:00"/>
        <d v="2026-01-28T00:00:00"/>
        <d v="2026-01-22T00:00:00"/>
        <d v="2026-01-07T00:00:00"/>
        <d v="2026-02-03T00:00:00"/>
        <d v="2026-03-07T00:00:00"/>
        <d v="2026-01-19T00:00:00"/>
        <d v="2025-01-14T00:00:00"/>
        <d v="2024-03-05T00:00:00"/>
        <d v="2026-03-26T00:00:00"/>
        <d v="2026-02-11T00:00:00"/>
        <d v="2026-01-09T00:00:00"/>
        <d v="2026-03-23T00:00:00"/>
        <d v="2026-03-13T00:00:00"/>
        <d v="2026-03-11T00:00:00"/>
        <d v="2026-03-16T00:00:00"/>
        <d v="2026-02-19T00:00:00"/>
        <d v="2026-02-24T00:00:00"/>
        <d v="2026-03-20T00:00:00"/>
        <d v="2026-02-27T00:00:00"/>
        <d v="2026-03-17T00:00:00"/>
        <d v="2026-02-28T00:00:00"/>
        <d v="2026-02-02T00:00:00"/>
        <d v="2026-02-25T00:00:00"/>
        <d v="2026-01-21T00:00:00"/>
        <d v="2026-01-16T00:00:00"/>
        <d v="2026-02-14T00:00:00"/>
        <d v="2026-03-09T00:00:00"/>
        <d v="2026-03-03T00:00:00"/>
        <d v="2026-01-26T00:00:00"/>
        <d v="2026-02-20T00:00:00"/>
        <d v="2026-01-08T00:00:00"/>
        <d v="2026-02-09T00:00:00"/>
        <d v="2025-12-18T00:00:00"/>
        <d v="2025-09-24T00:00:00"/>
        <d v="2025-07-15T00:00:00"/>
        <d v="2025-09-18T00:00:00"/>
        <d v="2024-10-17T00:00:00"/>
        <d v="2024-10-18T00:00:00"/>
        <d v="2024-03-13T00:00:00"/>
        <d v="2025-01-29T00:00:00"/>
        <d v="2026-01-20T00:00:00"/>
        <d v="2026-03-19T00:00:00"/>
        <d v="2025-09-13T00:00:00"/>
        <d v="2025-10-31T00:00:00"/>
        <d v="2025-04-14T00:00:00"/>
        <d v="2025-10-30T00:00:00"/>
        <d v="2025-11-22T00:00:00"/>
        <d v="2024-12-16T00:00:00"/>
        <d v="2025-03-11T00:00:00"/>
        <d v="2025-01-30T00:00:00"/>
        <d v="2024-12-26T00:00:00"/>
        <d v="2024-09-25T00:00:00"/>
        <d v="2024-03-12T00:00:00"/>
        <d v="2024-07-10T00:00:00"/>
        <m/>
      </sharedItems>
      <fieldGroup par="12"/>
    </cacheField>
    <cacheField name="APROBADO" numFmtId="0">
      <sharedItems containsNonDate="0" containsDate="1" containsString="0" containsBlank="1" minDate="2024-03-07T00:00:00" maxDate="2026-03-27T00:00:00"/>
    </cacheField>
    <cacheField name="REQUERIMIENTO" numFmtId="0">
      <sharedItems containsBlank="1" longText="1"/>
    </cacheField>
    <cacheField name="SOLUCION" numFmtId="0">
      <sharedItems containsBlank="1"/>
    </cacheField>
    <cacheField name="F_INICIO" numFmtId="0">
      <sharedItems containsNonDate="0" containsDate="1" containsString="0" containsBlank="1" minDate="2025-07-15T15:02:32" maxDate="2026-03-26T15:23:13"/>
    </cacheField>
    <cacheField name="F_TERMINO" numFmtId="0">
      <sharedItems containsNonDate="0" containsDate="1" containsString="0" containsBlank="1" minDate="2026-01-07T10:29:00" maxDate="2026-03-28T00:00:00"/>
    </cacheField>
    <cacheField name="Meses (FECHA)" numFmtId="0" databaseField="0">
      <fieldGroup base="4">
        <rangePr groupBy="months" startDate="2024-03-05T00:00:00" endDate="2026-03-27T00:00:00"/>
        <groupItems count="14">
          <s v="&lt;5/03/2024"/>
          <s v="Ene"/>
          <s v="Feb"/>
          <s v="Mar"/>
          <s v="Abr"/>
          <s v="May"/>
          <s v="Jun"/>
          <s v="Jul"/>
          <s v="Ago"/>
          <s v="Set"/>
          <s v="Oct"/>
          <s v="Nov"/>
          <s v="Dic"/>
          <s v="&gt;27/03/2026"/>
        </groupItems>
      </fieldGroup>
    </cacheField>
    <cacheField name="Trimestres (FECHA)" numFmtId="0" databaseField="0">
      <fieldGroup base="4">
        <rangePr groupBy="quarters" startDate="2024-03-05T00:00:00" endDate="2026-03-27T00:00:00"/>
        <groupItems count="6">
          <s v="&lt;5/03/2024"/>
          <s v="Trim.1"/>
          <s v="Trim.2"/>
          <s v="Trim.3"/>
          <s v="Trim.4"/>
          <s v="&gt;27/03/2026"/>
        </groupItems>
      </fieldGroup>
    </cacheField>
    <cacheField name="Años (FECHA)" numFmtId="0" databaseField="0">
      <fieldGroup base="4">
        <rangePr groupBy="years" startDate="2024-03-05T00:00:00" endDate="2026-03-27T00:00:00"/>
        <groupItems count="5">
          <s v="&lt;5/03/2024"/>
          <s v="2024"/>
          <s v="2025"/>
          <s v="2026"/>
          <s v="&gt;27/03/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
  <r>
    <n v="20014"/>
    <s v="CHAVEZ TITO JOSE ANTONIO"/>
    <s v="310"/>
    <x v="0"/>
    <x v="0"/>
    <d v="2026-03-18T00:00:00"/>
    <s v="SE SOLICITA MODIFICAR PEDIDO PARA ADICIONAR CERTIFICADO DE GOTS EN PEDIDOS DE COLOR, ASI MISMO CREAR ARTICULOS PARA SU FACTURACION"/>
    <s v="SE MODIFICA FORMA DE PEDIDOS COLOR PERMITIENDO ADICIONAR CONCEPTOS INTERNOS ENTRE ELLOS LOS CERTIFICADO DE GOTS Y/O OCS"/>
    <d v="2026-03-18T10:00:00"/>
    <d v="2026-03-20T16:51:00"/>
  </r>
  <r>
    <n v="19989"/>
    <s v="CHAVEZ TITO JOSE ANTONIO"/>
    <s v="310"/>
    <x v="0"/>
    <x v="1"/>
    <m/>
    <s v="SE SOLICITA PERMITIR ELEGIR EL ITEM DE CERTIFICADO GOTS PARA LOS PEDIDOS DE TINTORERIA"/>
    <s v="SE DESARROLLA LO SOLICITADO"/>
    <d v="2026-03-18T17:51:00"/>
    <d v="2026-03-20T16:51:00"/>
  </r>
  <r>
    <n v="19937"/>
    <s v="CHAVEZ TITO JOSE ANTONIO"/>
    <s v="310"/>
    <x v="0"/>
    <x v="2"/>
    <d v="2026-03-23T00:00:00"/>
    <s v="PERMITIR QUITAR CHECK DE VALIDACIÓN A PEDIDOS DE RESERVA"/>
    <s v="SE HABILITA EL PODER QUITAR EL CHECK DE VISADO"/>
    <d v="2026-03-12T16:47:00"/>
    <d v="2026-03-12T17:21:00"/>
  </r>
  <r>
    <n v="19716"/>
    <s v="RIVERA GONZALES RIVELINO"/>
    <s v="P820"/>
    <x v="1"/>
    <x v="3"/>
    <d v="2026-01-14T00:00:00"/>
    <s v="SE SOLICITA IMPLEMENTAR EL ALERTA STOCK MÍNIMO PARA LOS PRODUCTOS AUXILIARES.  STOCK MÍNIMO NO PERMITIR GENERAR RECETA CUNADO EL STOCK ESTE EN 0 "/>
    <s v="SE INGRESARON LOS STOCKS MINIMOS SEGUN RELACION ENVIADA EL 13/01 Y SE MODIFICO PROGRAMA DE ENVIO DE CORREO ADICIONANDO LOS AUXILIARES"/>
    <d v="2026-01-30T18:10:00"/>
    <d v="2026-01-30T19:29:00"/>
  </r>
  <r>
    <n v="19873"/>
    <s v="SANCHEZ JULCA URSULA JUANA"/>
    <s v="P710"/>
    <x v="2"/>
    <x v="4"/>
    <d v="2026-02-24T00:00:00"/>
    <s v="SE LE ENVÍA EL CUADRO SOBRE DATOS DE CLIP, PRESIÓN Y PRE EN CONTINUAS SUESSEN, RIETER, SG Y ZINSER, PARA ACTUALIZAR LA DATA DE HOJA DE CAMBIO."/>
    <s v="SE CREAN TABLAS SEGUN MARCA DE MAQUINA"/>
    <d v="2026-02-23T12:39:00"/>
    <d v="2026-03-16T16:43:00"/>
  </r>
  <r>
    <n v="19810"/>
    <s v="SANTILLAN SALAZAR LLANET"/>
    <s v="220"/>
    <x v="3"/>
    <x v="5"/>
    <d v="2026-02-05T00:00:00"/>
    <s v="SRA MARIA  SE SOLICITA AGREGAR EL CENTRO DE COSTO AL REPORTE CONSULTA DE PLANILLA."/>
    <s v="SE ADICIONO C.COSTO SEGUN LA PLANILLA PROCESADA"/>
    <d v="2026-02-05T19:42:39"/>
    <d v="2026-02-05T19:55:58"/>
  </r>
  <r>
    <n v="19887"/>
    <s v="SANCHEZ JULCA URSULA JUANA"/>
    <s v="P710"/>
    <x v="2"/>
    <x v="6"/>
    <d v="2026-03-02T00:00:00"/>
    <s v="SE REQUIERE IMPLEMENTAR LA HOJA DE CAMBIO DE TITULO (RECETAS)"/>
    <s v="SE GENERO FORMA PARA EL REGISTRO DE LA HOJA DE CAMBIO, EN BASE A LAS TABLAS CREADAS, REPORTE DE HOJA DE CAMBIO Y SE ADICIONAN LAS OPCIONES AL MENU"/>
    <d v="2026-03-03T08:55:00"/>
    <d v="2026-03-16T10:00:00"/>
  </r>
  <r>
    <n v="19913"/>
    <s v="CONROY MONTESINOS RENZO YEFFERSON"/>
    <s v="P730"/>
    <x v="4"/>
    <x v="7"/>
    <d v="2026-03-05T00:00:00"/>
    <s v="BUENAS TARDES JONATHAN, FAVOR DE AGREGAR EN MI PANTALLA DE PROGRAMACIÓN LA OPCIÓN &quot;COLOR SÓLIDO&quot; QUE COLOCA COMERCIAL EN SUS INGRESOS DE PEDIDOS."/>
    <s v="SE MODIFICA PROGRAMA ADICIONANDO COLUMNA"/>
    <d v="2026-03-05T18:50:00"/>
    <d v="2026-03-05T19:04:02"/>
  </r>
  <r>
    <n v="19847"/>
    <s v="RIVERA GONZALES RIVELINO"/>
    <s v="P820"/>
    <x v="1"/>
    <x v="8"/>
    <d v="2026-02-13T00:00:00"/>
    <s v="SE REQUIERE QUE SE IMPRIMA  EN LA ETIQUETA DE LAS CAJA DE COLORANTES EL CODIGO DE BARRA DEL ARTICULO Y LOTE PROVEEDOR (ORGATEX)"/>
    <s v="SE MODIFICO FORMULARIO ADICIONANDO LA IMPRESIÓN DEL CODIGO DE BARRA DEL ARTICULO Y LOTE PROV"/>
    <d v="2026-02-13T10:05:00"/>
    <d v="2026-02-16T21:02:41"/>
  </r>
  <r>
    <n v="19695"/>
    <s v="SANTILLAN SALAZAR LLANET"/>
    <s v="220"/>
    <x v="3"/>
    <x v="9"/>
    <d v="2026-01-06T00:00:00"/>
    <s v="SRA MARIA  SE SOLICITA  DEL TOTAL DE PLANILLA PERSONAL SE DETALLE LA CABECERA DE INGRESOS Y EGRESOS DETALLADA POR TRABAJADORES."/>
    <s v="SE GENERA FORMA DE CONSULTA DE LOS CONCEPTOS INVOLUCADOS EN LA PLANILLA PARA SU VERIFICACIÓN"/>
    <d v="2026-02-02T09:30:00"/>
    <d v="2026-02-02T17:50:36"/>
  </r>
  <r>
    <n v="19835"/>
    <s v="SANCHEZ JULCA URSULA JUANA"/>
    <s v="P710"/>
    <x v="2"/>
    <x v="10"/>
    <d v="2026-02-13T00:00:00"/>
    <s v="SE ENTREGA TABLA DE TORSION DE CONTINUA SUESSEN PARA REALIZAR O CREAR EL FORMATO PARA CAMBIOS EN CONTINUA."/>
    <s v="SE ADICIONA MAESTRO DE TABLAS C_CTCALIDAD PARA MANEJO DE RECETAS DE CAMBIO EN HILANDERIA"/>
    <d v="2026-02-16T17:45:00"/>
    <d v="2026-02-16T20:44:39"/>
  </r>
  <r>
    <n v="19911"/>
    <s v="MARCACUZCO PEREZ MARIA ELENA"/>
    <s v="P550"/>
    <x v="5"/>
    <x v="7"/>
    <d v="2026-03-05T00:00:00"/>
    <s v="SRA MARIA BS DS SE SOLICITA VERIFICAR DESDE COMERCIAL EL INGRESO DEL TEÑIDO A LAS MEZCLAS DE FIBRAS, EN ESTE CASO SI EL CLIENTE LO REQUIERE SOLIDO O SOLO TEÑIDO DE 1 FIBRA, COMERCIAL DESDE SU  PANTALLA TIENE UN CHECK, LABORATORIO LO DEBE VISUALIZAR PARA REALIZAR LA REVALIDACION, ADEMAS SE DEBE INCLUIR EN EL ANALISIS DE PARTIDA Y EN LA GUIA DE MATERIAL."/>
    <s v="SE MODIFICAN LA VALIDACION DE RECETAS Y SE ADICIONAN EN LA  IMPRESION DE LA GUIA EL DATO (COLOR SOLIDO) "/>
    <d v="2026-03-04T10:25:00"/>
    <d v="2026-03-04T11:25:00"/>
  </r>
  <r>
    <n v="19806"/>
    <s v="GOMEZ HINOJOSA MARIA FERNANDA"/>
    <s v="310"/>
    <x v="0"/>
    <x v="5"/>
    <d v="2026-02-04T00:00:00"/>
    <s v="AL IMPRIMIR LOS PEDIDOS, LA DESCRIPCIÓN DEL ARTÍCULO SALE INCOMPLETO Y EL CLIENTE NO PUEDE VER A MAYOR DETALLE LO COMPRADO."/>
    <s v="SE MODIFICA EL REPORTE DE LOS PEDIDOS EXPANDIENDO SEGUN LA DESCRIPCION DEL ARTICULO"/>
    <d v="2026-02-04T14:15:00"/>
    <d v="2026-02-04T14:41:00"/>
  </r>
  <r>
    <n v="19826"/>
    <s v="ASTETE QUINTANA MARIA VICTORIA"/>
    <s v="250"/>
    <x v="6"/>
    <x v="11"/>
    <d v="2026-02-10T00:00:00"/>
    <s v="SE REQUIERE VISUALIZAR AQUELLOS PEDIDOS QUE NO  TENGAN PARTIDA EN EL ANALISIS DEL PEDIDO PARA PODER VISUALIZAR EN QUE SITUACION SE ENCUENTRAN"/>
    <s v="SE CREA VISTA CON LOS DATOS DE PARTIDAS, PROGRAMACION Y PEDIDOS PARA PUEDAN SER VISUALIZADOS EN EL ANALISIS DE PARTIDAS"/>
    <d v="2026-02-10T09:00:00"/>
    <d v="2026-02-13T19:04:00"/>
  </r>
  <r>
    <n v="19778"/>
    <s v="HOLGUIN PANTA LUCILA KARINA"/>
    <s v="230"/>
    <x v="7"/>
    <x v="12"/>
    <d v="2026-01-29T00:00:00"/>
    <s v="SE REQUIERE SE VALIDE LA INFORMACIÓN DEL MAESTRO DE PERSONAL EN SU INGRESO COMO EN SU MODIFICACIÓN LOS DATOS DEL TRABAJADOR, TAMBIEN SE NECESIA UNA VALIDACION DE LA PLANILLA SEMANAL Y/O MENSUAL"/>
    <s v="SE MODIFICA EL MAESTRO DE PERSONAL CON LOS CONTROLES SOLICITADOS POR EL USUARIO Y SE ADICIONA EL REPORTE DE VALIDACIONES DE PLANILLAS"/>
    <d v="2026-01-16T14:11:00"/>
    <d v="2026-01-29T13:12:47"/>
  </r>
  <r>
    <n v="19723"/>
    <s v="PAMPA PAMPA ESTEFANY JOSELYN"/>
    <s v="230"/>
    <x v="7"/>
    <x v="13"/>
    <d v="2026-01-15T00:00:00"/>
    <s v="HABILITAR LOS IMPORTES DE VALE DE ALIMENTOS DE MANERA AUTOMATICA EN INGRESO Y DESCUENTOS EN LA PLANILLA SEMANAL"/>
    <s v="SE ADICIONA CONTROL DE VALES DE ALIMENTOS EN LA PLANILLA"/>
    <d v="2026-01-15T15:30:00"/>
    <d v="2026-01-21T12:53:47"/>
  </r>
  <r>
    <n v="19741"/>
    <s v="SCHIMITSCHEK VOTTELER ALEXANDER ERICH"/>
    <s v="P560"/>
    <x v="8"/>
    <x v="14"/>
    <d v="2026-01-20T00:00:00"/>
    <s v="HOLA MARÍA POR FAVOR HAZ QUE FUNCIONE LA ALERTA POR STOCKS MÍNIMOS DE TODOS LOS COLORANTES CONSUMIDOS EN EL 2025. ADJUNTO CUADRO CON CONSUMOS DE LOS PRINCIPALES COLORANTES, TOMAR X 2 EL VALOR DEL CONSUMO PROMEDIO MENSUAL COMO STOCK MÍNIMO PARA LA ALERTA (COLUMNA R). CANTIDAD MÍNIMA = 10 KILOS RANGO A REDONDEO = MÚLTIPLOS DE 10 KILOS"/>
    <s v="SE ADICIONA AL MENU EL ENVIO DE CORREO AUTOMÁTICO DEL STOCK MINIMO EVALUANDO EL SALDO MENOS LAS RECETAS PENDIENTES DE DESPACHO"/>
    <d v="2026-01-07T18:57:00"/>
    <d v="2026-01-10T11:00:00"/>
  </r>
  <r>
    <n v="19912"/>
    <s v="ORBEZO MEDINA KAREN STACI"/>
    <s v="P730"/>
    <x v="4"/>
    <x v="7"/>
    <d v="2026-03-04T00:00:00"/>
    <s v="BUENAS TARDES. POR FAVOR EN EL REPORTE DE SEGUIMIENTO DE PROGRAMACION DE TINTORERIA INCLUIR EN LA DESCARGA LA COLUMNA DE ACABADO EN MADEJAS."/>
    <s v="SE MODIFICA PROGRAMA ADICIONANDO LA COLUMA AL EXCEL QUE SE GENERA"/>
    <d v="2026-03-04T11:55:00"/>
    <d v="2026-03-04T11:59:00"/>
  </r>
  <r>
    <n v="19812"/>
    <s v="SANTILLAN SALAZAR LLANET"/>
    <s v="220"/>
    <x v="3"/>
    <x v="15"/>
    <d v="2026-02-06T00:00:00"/>
    <s v="SRA. MARIA  SE SOLICITA QUE A PARTIR DEL MES DE FEBRERO LOS PAGOS QUE SE REALICEN POR EL MODULO DE TESORERIA NO DEBEN DESCONTAR LA RETENCION ."/>
    <s v="SE ADICIONA PARAMETRO DE CONTROL Y SE MODIFICA VISTAS, FORMAS Y PROCEDIMIENTOS"/>
    <d v="2026-02-05T20:01:52"/>
    <d v="2026-02-06T16:06:53"/>
  </r>
  <r>
    <n v="19809"/>
    <s v="HOLGUIN PANTA LUCILA KARINA"/>
    <s v="230"/>
    <x v="7"/>
    <x v="5"/>
    <d v="2026-02-05T00:00:00"/>
    <s v="ALERTA DE REMUNERACION MAXIMA ASEGURABLE QUE NOS COMUNIQUE CADA 3 MESES PARA PODER CAMBIAR EN EL SISTEMA Y ASÍ REALICE LOS DESCUENTOS DE AFP TOPE Y POLIZA SCTR Y VIDA LEY.  DICHO ALERTA DEBE SER CADA TRIMESTRE EN EL AÑO"/>
    <s v="SE ADICIONA LA FECHA DE VIGENCIA EN LOS CONCEPTOS CON TOPE MAXIMO DE LAS APORTACIONES Y SE MODIFICA LA FORMA DE ACCESO AL SISTEMA ADICIONANDO EL CONTROL PARA ENVIO DE CORREO AL USUARIO DE KARINA HOLGUIN"/>
    <d v="2026-02-07T11:30:00"/>
    <d v="2026-02-07T15:07:53"/>
  </r>
  <r>
    <n v="19785"/>
    <s v="TUPAC NEVADO GISELA CARINA"/>
    <s v="220"/>
    <x v="3"/>
    <x v="16"/>
    <d v="2026-01-30T00:00:00"/>
    <s v="MARIA: EL REPORTE VRESVTAGRAL NECESITO QUE SE CORRIJA COMO EL SEGUNDO QUE YA LO REALIZASTES ME ESTÁN DANDO CANTIDADES DIFERENTES , EN EL REPORTE DE EXPORTACION , PROVINCIA Y LOCAL , EL TOTAL , DEBERIA EXCLUIR LOS ANTICIPOS COMO LA OPCIÓN QUE DAS EN EL SEGUNDO REPORTE"/>
    <s v="SE MODIFICA REPORTE ADICIONANDO OPCIÓN"/>
    <d v="2026-01-30T10:15:00"/>
    <d v="2026-01-30T10:15:00"/>
  </r>
  <r>
    <n v="19784"/>
    <s v="LOPEZ CASANA RICARDO EUSEBIO"/>
    <s v="P710"/>
    <x v="2"/>
    <x v="17"/>
    <d v="2026-01-30T00:00:00"/>
    <s v="SE SOLICITA OTORGAR EL ACCESO DE REGISTRO A TODAS LA JEFATURAS EN LOS HALLAZGOS REGISTRADOS"/>
    <s v="SE MODIFICA PROGRAMA"/>
    <d v="2026-01-29T14:00:00"/>
    <d v="2026-01-29T18:00:00"/>
  </r>
  <r>
    <n v="19783"/>
    <s v="FLORES ALLCCARIMA ALEYDA DIGNA"/>
    <s v="220"/>
    <x v="3"/>
    <x v="16"/>
    <d v="2026-01-30T00:00:00"/>
    <s v="BUEN DIA, SE SOLICITA LO SIGUIENTE: - AÑADIR EN LA PESTAÑA DE CONTABILIAD (EXPORTACIONES A EXCEL)  LA OPCION DE DESCARGA 8.2 Y OTRA QUE INDIQUE DESCRAGAR AMBAS (8.1 Y 8.2) -EN EL REGISTRO DE COMPRAS 29 (NO GRAVADOS) QUE EN AUTOMATICO EL ESTADO DE R/C SEA UNICAMENTE CERO, YA QUE SON REGISTROS SIN IGV, POR ENDE EN LA CUENTA DE GASTO SE DESTINARA EL ESTADO RC COMO 4"/>
    <s v="SE MODIFICA REGISTRO DE COMPRAS LIBRO 29 Y SE SE ADICIONA A EXPORTACIONES EXCEL EL REGISTRO SE COMPRAS (MISMO FORMATO QUE REPORTE)  REG.COMPRAS. 8.1, REG.COMPRAS. 8.2, REG.COMPRAS. 8.1 Y LIBRO 29, REG.COMPRAS. 8.1, 8.2 Y LIBRO 29"/>
    <d v="2026-02-17T09:32:27"/>
    <d v="2026-02-18T18:30:09"/>
  </r>
  <r>
    <n v="19751"/>
    <s v="SANTILLAN SALAZAR LLANET"/>
    <s v="220"/>
    <x v="3"/>
    <x v="18"/>
    <d v="2026-01-22T00:00:00"/>
    <s v="SE SOLICITA COLOCAR COMO CAMPO OBLIGATORIO EL FLUJO DE EFECTIVO EN LA BASE DE DATOS DE LOGISTICA PARA EVITAR QUE ALGUNOS PAGOS ESTEN SALIENDO SIN DETALLE DE FLUJO. SE SOLICITA LA RELACION DE PROVEEDORES QUE ESTAN SIN FLUJO. ADEMAS SE SOLICITA AGRANDAR LA COLUMNA DEL VOUCHER EN EL DETALLE DE FLUJO."/>
    <s v="SE MODIFICA MAESTRO DE PROVEEDORES COLOCANDO COMO OBLIGATORIO  EL CODIGO DE FLUJO EFECTIVO, SE ENVÍA POR CORREO LA RELACIÓN DE PROVEEDORES SIN FLUJO EFECTIVO, SE MODIFICA REPORTE DE FLUJO EFECTIVO"/>
    <d v="2026-01-30T16:20:00"/>
    <d v="2026-01-30T18:02:14"/>
  </r>
  <r>
    <n v="19700"/>
    <s v="CHAVEZ TITO JOSE ANTONIO"/>
    <s v="310"/>
    <x v="0"/>
    <x v="19"/>
    <d v="2026-01-07T00:00:00"/>
    <s v="MARIA EN VISTA QUE EL REGISTRO SIEMRPE GENERA UN ARTICULO Y LUEGO NO SE PUEDE EDITAR, NECESITAMOS QUE SE PERMITA COLOCAR UNA REFERENCIA  SIN VALOR QUE NO GENERE ARTICULO QUE SOLO PERMITA PONER UN NOMBRE EN ETIQUETA Y TENER PRESENTE EL REGISTRO DEL PEDIDO COMPLETO. TE LO COMENTO PORQUE EN MI CASO CREABA SOLICITUDES SIN TENER LA MUESTRA FISICA PERO ESTO LEVANTÓ OBSERVACIÓN CON LABORATORIO TODOS RECIBIMOS MUCHAS VECES ORDENES DE COMPRA CON EL COLOR POR DEFINIR PERO YA CON CANTIDADES PROYECTADAS Y ES LIMITANTE NO TENER EL REGISTRO LO CUAL CONLLEVA A REVISAR DEMASIADO POR TODAS PARTES. ESTE CAMBIO SOLO ES PARA EL REGISTRO NO ALTERA EN NADA UNA APROBACIÓN PUES ESTA SE PASA CON LA ORDEN DE COMPRA Y PARA ESE MOMENTO YA TODO ESTÁRÍA COMPLETADO."/>
    <s v="SE MODIFICO PROGRAMA PARA QUE NO VALIDE LA REFERENCIA SIEMPRE QUE EN ESTA SE COLOQUE CON P2-0-0 EN EL REGISTRO HASTA QUE EL ASESOR COMPLETE LOS DATOS"/>
    <d v="2026-01-12T12:45:00"/>
    <d v="2026-01-12T16:32:14"/>
  </r>
  <r>
    <n v="19693"/>
    <s v="SANTILLAN SALAZAR LLANET"/>
    <s v="220"/>
    <x v="3"/>
    <x v="14"/>
    <d v="2026-01-06T00:00:00"/>
    <s v="SRA MARIA  SE SOLICITA QUE AL CONTABILIZAR LAS PLANILLAS DE PERSONAL EMPLEADOS-OBREROS LOS CONCEPTOS DE INGRESOS , 1031,1089,1020,1063,1026, MIGREN CON LOS NOMBRES DE LOS TRABAJADORES."/>
    <s v="SE MODIFICA LA GENERACION DE ASIENTO ADICIONANDO EL DETALLE POR TRABAJADOR SEGUN LOS CONCEPTOS IDENTIFICADOS COMO RESUMEN / DETALLE EN EL MAESTRO DE CONCEPTOS"/>
    <d v="2026-01-10T12:15:00"/>
    <d v="2026-01-12T11:52:15"/>
  </r>
  <r>
    <n v="19692"/>
    <s v="SANTILLAN SALAZAR LLANET"/>
    <s v="220"/>
    <x v="3"/>
    <x v="14"/>
    <d v="2026-01-06T00:00:00"/>
    <s v="SRA MARIA SE SOLICITA REPORTE CONDICION PAGOS PARA CLIENTES /PROVEEDORES CON LA SIGUIENTES CONDICIONES CONTADO-CREDITO FACTURAS-LETRAS"/>
    <s v="SE GENERA REPORTE SEGUN MODELO ENVIADO POR CORREO EL 29/01/2026"/>
    <d v="2026-02-03T09:15:00"/>
    <d v="2026-02-05T19:40:28"/>
  </r>
  <r>
    <n v="19802"/>
    <s v="TUPAC NEVADO GISELA CARINA"/>
    <s v="220"/>
    <x v="3"/>
    <x v="20"/>
    <d v="2026-02-03T00:00:00"/>
    <s v="MARIA EL COMITÉ ESTA QUE LE SOLICITA ESTA INFORMACIÓN AL SR. FERNANDO RUC, CLIENTES , KILOS DE ALGODÓN, KILOS DE OTRAS FIBRAS, KILOS DE MEZCLA ALG CON OTRA FIBRA, Y OTRAS MEZCLAS"/>
    <s v="SE ADICIONA COLUMNA PARA QUE EL USUARIO ADICIONE LA CLASIFICACION Y SE CREA REPORTE SEGUN LA CLASIFICACION INGRESADA"/>
    <d v="2026-02-03T11:50:00"/>
    <d v="2026-02-03T19:54:50"/>
  </r>
  <r>
    <n v="19920"/>
    <s v="YAÑEZ ARANIBAR JOSHELYN KAROL"/>
    <s v="210"/>
    <x v="9"/>
    <x v="21"/>
    <d v="2026-03-09T00:00:00"/>
    <s v="SE SOLICITA QUE A TODOS LOS USUARIOS NO SE LE PERMITA EL CODIGO DE ARTICULO PEDIDO DESACTIVAR O ANULAR ESA OPCION"/>
    <s v="SE MODIFICA LA LISTA DE VALORES PARA SELECCIONAR EL TIPO DE ARTICULO DESDE LA TABLA USER_AUTHORIZED RESTRINGIENDO LOS ARTICULOS QUE INICIAN CON 'PEDIDO%'"/>
    <d v="2026-03-08T10:00:00"/>
    <d v="2026-03-09T10:00:00"/>
  </r>
  <r>
    <n v="19731"/>
    <s v="SANTILLAN SALAZAR LLANET"/>
    <s v="220"/>
    <x v="3"/>
    <x v="22"/>
    <d v="2026-01-20T00:00:00"/>
    <s v="SRA MARIA  SE SOLICITA VERIFICAR Y VALIDAR LOS ASIENTOS DE EGRESOS POR QUE CUANDO ESTA CERRADO EL PARAMETRO DE CAJA PERMITE DESCONTABILIZAR LOS ASIENTOS Y ANULAR PASE. CUANDO QUIERO VISUALIZAR EL DETALLE DEL ASIENTO NO SE PUEDE VOUCHE 2-120219."/>
    <s v="SE MODIFICA FORMULARIO QUE DESCONTABILIZA LOS ASIENTOS ADICIONANDO EL CONTROL DE CIERRE DE CAJA, AL IGUAL SE MODIFICA EL FORMULARIO DE ANULACION DEL PASE A CONTABILIDAD"/>
    <d v="2026-01-20T14:54:00"/>
    <d v="2026-01-21T11:14:54"/>
  </r>
  <r>
    <n v="18851"/>
    <s v="PAMPA PAMPA ESTEFANY JOSELYN"/>
    <s v="230"/>
    <x v="7"/>
    <x v="23"/>
    <d v="2025-01-16T00:00:00"/>
    <s v="BUENOS DÍAS, SRA. MARIA,_x0009__x0009__x0009__x0009__x0009__x0009__x0009_ SOLICITAR A SISTEMA  QUE GENERE EN LA PLANILLA SEMANAL EL BONO DE RETORNO VACACIONAL (COD ING: 1031) CADA VEZ QUE EL TRABAJADOR (OBREROS) CUMPLA GOCE SUS 30 DIAS DE UN PERIODO VACACIONAL, TENIENDO EN CUENTA QUE DICHO BONO SE OTORGARA CUANDO TENGA SEMANA TRABAJADA."/>
    <s v="SE MODIFICA EL PROCEDIMIENTO EN LA HABILITACION DE LA PLANILLA ADICIONANDO LA CARGA DEL BONO VACACIONAL PARA EL PERSONAL QUE RETORNA LUEGO DE CUMPLIR UN PERIODO COMPLETO (30) DIAS, LA INFORMACION PARA ELLO SE JALA DE LOS EVENTOS DE VACACIONES"/>
    <d v="2026-01-05T12:37:00"/>
    <d v="2026-01-10T12:38:18"/>
  </r>
  <r>
    <n v="18142"/>
    <s v="SANTILLAN SALAZAR LLANET"/>
    <s v="220"/>
    <x v="3"/>
    <x v="24"/>
    <d v="2024-03-07T00:00:00"/>
    <s v="SRA. MARIA -POR FAVOR TENER COMO PRIORIDAD LA AUTOMATIZACIÓN DEL LIBRO DE ACTIVO FIJO, COMO ES DE CONOCIMIENTO DESDE EL 2014 SE TRABAJA DE FORMA MANUAL. MODIFICACION DE FORMULARIO Y/O REPORTE (ORACLE)"/>
    <s v="JONATHAN GAMBA CARGO LA DATA F_INICIO 22/03/2024 Y USARIO VALIDÓ LA INFORMACION SIN DARLE CONFORMIDAD"/>
    <m/>
    <m/>
  </r>
  <r>
    <n v="20001"/>
    <s v="HOLGUIN PANTA LUCILA KARINA"/>
    <s v="230"/>
    <x v="7"/>
    <x v="25"/>
    <m/>
    <s v="SE SOLICITA MODIFICAR EL REPORTE &quot;REPORTE ANUAL DE ROTACION DE PERSONAL POR GRAN C.COSTOS&quot;: - ABREVIAR EL NOMBRE DE LOS GRAN C.COSTOS - AJUSTAR EL ANCHO DE LAS COLUMNAS PARA EVITAR EN LO POSIBLE QUE SALGA EN DOS PAGINAS CREAR UN RESUMEN POR GRAN C.COSTOS PARA QUE SE VISUALICEN AQUELLOS QUE SUPEREN EL 10%"/>
    <s v="SE DESARROLLA LO SOLICITADO EN EL REPORTE"/>
    <d v="2026-03-26T15:23:13"/>
    <d v="2026-03-26T16:42:20"/>
  </r>
  <r>
    <n v="19830"/>
    <s v="CONROY MONTESINOS RENZO YEFFERSON"/>
    <s v="P730"/>
    <x v="4"/>
    <x v="26"/>
    <d v="2026-02-11T00:00:00"/>
    <s v="BUENAS TARDES JONATHAN, MODIFICAR EL REPORTE &quot;PARTIDAS PENDIENTES DE ENCONADO&quot; (PPARTPENDENC). 1. EN EL REPORTE NO DEBE FIGURAR LAS PARTIDAS QUE ESTÁN PENDIENTES DE ACABADO EN MADEJA. SOLO DEBERÍA FIGURAR EN SU 2 PROCESO DE SECADO (SECADORA MINNETTI - S04) LUEGO DE REALIZAR EL ACABADO DE MADEJAS.  2. EN EL RESUMEN DE &quot;MATERIAL POP APROBAR&quot; DEBE CLASIFICARSE EN:      - PARTIDAS SECADAS PENDIENTES DE EVALUACIÓN.     - PARTIDAS EN EVALUACIÓN.     - PARTIDAS EN CONSULTA.     - PARTIDAS RECHAZADAS."/>
    <s v="SE VALIDA LO SOLICITADO Y SE AGREGA EL BLOQUE DE INFORMACION SOBRE EL MATERIAL POR EVALUAR"/>
    <d v="2026-02-12T10:31:44"/>
    <d v="2026-02-14T09:30:25"/>
  </r>
  <r>
    <n v="19705"/>
    <s v="ALVILDO CANO BERTHA MARIELA"/>
    <s v="320"/>
    <x v="10"/>
    <x v="27"/>
    <m/>
    <s v="SE SOLICITA HABILITAR LA EXPORTACION A PDF DE LOS REPORTES: XCABFCOB Y XMVCLIDE"/>
    <s v="SE MODIFICAN LOS REPORTES"/>
    <d v="2026-01-09T13:12:26"/>
    <d v="2026-01-09T14:06:00"/>
  </r>
  <r>
    <n v="19993"/>
    <s v="ASTETE QUINTANA MARIA VICTORIA"/>
    <s v="250"/>
    <x v="6"/>
    <x v="1"/>
    <m/>
    <s v="SE SOLICITA APOYO PARA CREAR UN MODULO DE REGISTRO DE PRODUCCION DE PREPARATORIA EN TECNOLOGIA WEB, VALIDANDO LAS REGLAS DEL NEGOCIO Y AFINANDO EL DISEÑO Y FUNCIONALIDADES"/>
    <s v="SE APOYA EN ANALISIS, DISEÑO Y VALIDACION"/>
    <d v="2026-03-18T10:58:00"/>
    <d v="2026-03-25T17:20:00"/>
  </r>
  <r>
    <n v="19982"/>
    <s v="PAMPA PAMPA ESTEFANY JOSELYN"/>
    <s v="230"/>
    <x v="7"/>
    <x v="28"/>
    <m/>
    <s v="AGREGAR EN EL REPORTE DE PERSONAL CON ASIGNACION FAMILAR A LOS TRABAJADORES QUE TIENEN HIJOS MAYORES DE 18 AÑOS CON ESTUDIOS SUPERIOR "/>
    <s v="SE AGREGA LA CONDICION SOLICITADA EN EL REPORTE"/>
    <d v="2026-03-24T15:08:00"/>
    <d v="2026-03-24T15:21:30"/>
  </r>
  <r>
    <n v="19940"/>
    <s v="ORBEZO MEDINA KAREN STACI"/>
    <s v="P730"/>
    <x v="4"/>
    <x v="29"/>
    <d v="2026-03-16T00:00:00"/>
    <s v="BUEN DIA JONATHAN.  SE SOLICITA QUE PARA EL PROGRAMA DE TINTORERIA (SOLO PARA MADEJAS) SU FECHA DE ENTREGA DE MATERIAL DE HILANDERIA SALGA CON LA FECHA DE LA GUIA EMITIDA."/>
    <s v="SE AGREGA LA FUNCIONALIDAD SEGUN LO SOLICITADO, LA CUAL SE MOSTRARA EN EL CAMPO DISPLAY &quot;F/INGRESO ALM INTERMEDIO&quot;"/>
    <d v="2026-03-16T10:54:00"/>
    <d v="2026-03-16T11:52:05"/>
  </r>
  <r>
    <n v="19931"/>
    <s v="CHAVEZ TITO JOSE ANTONIO"/>
    <s v="310"/>
    <x v="0"/>
    <x v="30"/>
    <d v="2026-03-12T00:00:00"/>
    <s v="POR FAVOR ADICIONAR LA COLOMUNA DESCRIPCION DE COLOR EN LA EXPORTACIÓN A EXCEL DE LAS COTIZACIONES DE VENTAS"/>
    <s v="SE AGREGA LA COLUMNA COLOR DE COTIZACION Y DE REFERENCIA EN LA EXPORTACION A EXCEL"/>
    <d v="2026-03-12T08:29:39"/>
    <d v="2026-03-12T09:06:36"/>
  </r>
  <r>
    <n v="19945"/>
    <s v="ORBEZO MEDINA KAREN STACI"/>
    <s v="P730"/>
    <x v="4"/>
    <x v="31"/>
    <m/>
    <s v="JONATHAN POR FVAIR VERIFICAR PORQUE NO ME SALE EL LOTE CUANDO DOY F9 PARA EL PEDIDO 88356"/>
    <s v="SE VERIFICA QUE NO EXISTEHN LOTES PARA LA FIBRA &quot;060&quot; (TANGUIS ORGANICO) EN ALM. INTERMEDIOS POR ESO ES QUE NO MOSTRABA DICHO LOTE. SE LE PERMITE AL USUARIO QUE EN CASO NO EXISTA EL LOTE, PUEDA REGITRAR CUALQUIERA (INCLUSO LOTE 0)"/>
    <d v="2026-03-16T10:33:02"/>
    <d v="2026-03-16T11:04:00"/>
  </r>
  <r>
    <n v="19872"/>
    <s v="SANCHEZ JULCA URSULA JUANA"/>
    <s v="P710"/>
    <x v="2"/>
    <x v="4"/>
    <d v="2026-02-24T00:00:00"/>
    <s v="EN LA IMPRESIÓN DE LA FICHA TÉCNICA, PODRÍAMOS REDUCIR EL TAMAÑO DE LOS LOGOS DE LOS CERTIFICADOS PARA ASÍ TENER MÁS ESPACIO PARA LA FICHA TÉCNICA, SE VE MUY JUNTO EL CUERPO.  "/>
    <s v="SE DESARROLLA LO SOLICITADO"/>
    <d v="2026-02-24T10:31:00"/>
    <d v="2026-02-24T10:52:00"/>
  </r>
  <r>
    <n v="19823"/>
    <s v="ORBEZO MEDINA KAREN STACI"/>
    <s v="P730"/>
    <x v="4"/>
    <x v="11"/>
    <d v="2026-02-10T00:00:00"/>
    <s v="BUENAS TARDES, JONATHAN TE ENVIO LOS REQUERIMIENTOS QUE ACORDAMOS PREVIAMENTE.  1. STOCK DE MATERIAL POR LOTES: EN LA VENTANA DE PROGRAMACIÓN DE TINTORERÍA MOSTRAR CON F9 LOS LOTES Y CANTIDADES DISPONIBLES. 2. PARA EL BOOM DE MATERIALES SE DEBE VISUALIZAR EL STOCK (CANTIDAD Y RESERVAS) PARA INTERMEDIO TAMBIÉN LO DEBE VISUALIZAR PARA QUE      - FECHA DE ULTIMO INGRESO (HILANDERIA)      - REQ MAT PROGRAMA (ACUMULADO DE RESERVA DE ESE MATERIAL)      - STOCK DE ALM. DE INTERMEDIOS (CANTIDAD REAL DEL MATERIAL (DESCONTANDO LA RESERVA)     - STOCK DISPONIBLE (CUANTO MATERIAL DISPONIBLE ESTÁ QUEDANDO)"/>
    <s v="SE AGREGAN LOS CALCULOS SOLICITADOS"/>
    <d v="2026-03-11T10:26:42"/>
    <d v="2026-03-13T13:48:10"/>
  </r>
  <r>
    <n v="19854"/>
    <s v="ARMAS GARCIA CRIS YACKELYN"/>
    <s v="310"/>
    <x v="0"/>
    <x v="32"/>
    <d v="2026-02-19T00:00:00"/>
    <s v="ADICIONAR EL NOMBRE DEL CLIENTE AL MOMENTO DE IMPRIMIR EL RANKING DE MATERIALES POR AÑO"/>
    <s v="SE AGREGA LA DESCRIPCION DEL CLIENTE FILTRADO EN LOS PARAMETROS DE BUSQUEDA DEL REPORTE"/>
    <d v="2026-02-19T13:44:54"/>
    <d v="2026-02-19T13:56:16"/>
  </r>
  <r>
    <n v="19876"/>
    <s v="ORBEZO MEDINA KAREN STACI"/>
    <s v="P730"/>
    <x v="4"/>
    <x v="33"/>
    <m/>
    <s v="BUEN DIA JONATHAN SE SOLICITA PARA EL REPORTE DE SEGUIMIENTO DE PROGRAMACION DE TINTORERIA, SE REQUIERE VISUALIZAR: -TODOS LOS PEDIDOS APROBADOS -MAQUINA SECADORA (THIES O MINNETTI) -INGRESO DE MATERIAL AL ALMACEN (COLUMNA F/ ENTREG MAT HILAND) -FECHA Y HORA DE LA GUIA EMITIDA -ADICIONAR UNA COLUMNA DE LA FECHA ESTIMADA DEL ENCONADO"/>
    <s v="SE AGREGAN LOS FILTROS DE BUSQUEDA Y LAS COLUMNAS SOLICITADAS. EN COORDINACION CON RENZO SE REEMPLAZO LA COLUMNA &quot;MAQUINA SECADORA&quot; POR &quot;F/SECADO MADEJAS&quot;"/>
    <d v="2026-03-02T09:59:00"/>
    <d v="2026-03-02T17:25:09"/>
  </r>
  <r>
    <n v="19832"/>
    <s v="TAYA CISNEROS MARIELA"/>
    <s v="P710"/>
    <x v="2"/>
    <x v="26"/>
    <d v="2026-02-13T00:00:00"/>
    <s v="SE SOLICITA DESARROLLAR EL REGISTRO DE CONTROL DE PARAFINAS"/>
    <s v="SE DESARROLLA EL MODULO SOLICITADO"/>
    <d v="2026-02-11T10:06:00"/>
    <d v="2026-02-11T17:06:56"/>
  </r>
  <r>
    <n v="19801"/>
    <s v="LOPEZ CASANA RICARDO EUSEBIO"/>
    <s v="P710"/>
    <x v="2"/>
    <x v="20"/>
    <d v="2026-02-03T00:00:00"/>
    <s v="REQUERIMIENTO DE CAMBIOS EN LAS FICHAS TECNICAS QUE SE ENTREGAN A LOS CLIENTES. ALINEADO CADA PARÁMETRO CON SUS NORMATIVAS INTERNACIONALES ESPECÍFICAS: TÍTULO DEL HILO: DETERMINADO BAJO ASTM D1907 / ISO 2060, ASEGURANDO PRECISIÓN ABSOLUTA EN EL PESAJE Y ACONDICIONAMIENTO COMERCIAL. TORSIÓN (TPM/TPP): EVALUADA MEDIANTE LA NORMA ISO 17202 PARA HILOS SENCILLOS, GARANTIZANDO ESTABILIDAD TORSIONAL. PROPIEDADES DE TRACCIÓN: IMPLEMENTACIÓN DE LA NORMA ASTM D2256 PARA EL REPORTE DE TENACIDAD Y ELONGACIÓN, FACTORES CRÍTICOS PARA PREVENIR ROTURAS EN MÁQUINAS CIRCULARES Y RECTILÍNEAS. LUBRICACIÓN Y DESEMPEÑO: INCORPOR MÉTRICAS DE ÍNDICE DE FRICCIÓN (BAJO ASTM D3108) Y UN CONTROL DEL PORCENTAJE DE PARAFINA, REDUCIENDO EL DESGASTE DE AGUJAS Y LA ACUMULACIÓN DE BORRA SIN AFECTAR LA AFINIDAD TINTÓREA. COMPROMISO DE ACONDICIONAMIENTO: TODAS NUESTRAS PRUEBAS SE RIGEN BAJO LA NORMA ASTM D1776, ELIMINANDO VARIACIONES POR HUMEDAD Y GARANTIZANDO LA ENTREGA EXACTA DEL PESO ENVIADO."/>
    <s v="SE CREA EL FORMATO SOLICITADO, ADICIONALMENTE SE CREA EL REGISTRO DEL CONTROL DEL PARAFINADO PARA QUE PUEDA MOSTRAR SU VALOR EN LA FICHA TECNICA."/>
    <d v="2026-02-06T12:16:42"/>
    <d v="2026-02-12T14:48:00"/>
  </r>
  <r>
    <n v="19987"/>
    <s v="CONROY MONTESINOS RENZO YEFFERSON"/>
    <s v="P730"/>
    <x v="4"/>
    <x v="1"/>
    <d v="2026-03-25T00:00:00"/>
    <s v="BUENAS TARDES JONATHAN, FAVOR DE AGREGAR EN MI ORDEN DE PROGRAMACIÓN UN INDICADOR DE DOBLE TEÑIDO O COLOR SÓLIDO."/>
    <s v="SE AGREGA LA COLUMNA SOLICITADA"/>
    <d v="2026-03-25T11:40:15"/>
    <d v="2026-03-25T12:19:00"/>
  </r>
  <r>
    <n v="19974"/>
    <s v="CHAVEZ TITO JOSE ANTONIO"/>
    <s v="310"/>
    <x v="0"/>
    <x v="34"/>
    <m/>
    <s v="EL CLIENTE MICHELL SOLICITA AFFIDAVITS EN ESPAÑOL, CREAR ESTE MODELO"/>
    <s v="SE DESARROLLA EL FORMATO MODELO 1 DEL AFFIDAVIT A ESPAÑOL"/>
    <d v="2026-03-20T17:03:37"/>
    <d v="2026-03-20T17:36:58"/>
  </r>
  <r>
    <n v="19890"/>
    <s v="SANTILLAN SALAZAR LLANET"/>
    <s v="220"/>
    <x v="3"/>
    <x v="35"/>
    <d v="2026-03-02T00:00:00"/>
    <s v="SRA MARIA SE SOLICITA  MODIFICAR LA FECHA DE ENVIO DE EGRESOS MASIVO MAXIMO 30 DIAS."/>
    <s v="SE MODIFICA LA VALIDACION A 30 DIAS"/>
    <d v="2026-02-27T10:56:43"/>
    <d v="2026-02-27T11:07:07"/>
  </r>
  <r>
    <n v="19958"/>
    <s v="MARCACUZCO PEREZ MARIA ELENA"/>
    <s v="P550"/>
    <x v="5"/>
    <x v="36"/>
    <d v="2026-03-17T00:00:00"/>
    <s v="JONATHAN, SEGÚN LO CONVERSADO: LOS SIGUIENTES MATERIALES. MODAL 100% LYOCELL100% (TENCEL) VISCOSA 100% ALGODÓN - ALPACA (BABY, ROYAL, FLEECE) DEBEN LLEVAR EN SUS RECETAS DE TEÑIDO O INICIO LA CANTIDAD DE 5GR/L DE SERA CON M-LU, SE DEBE AGREGAR DESDE EL PEDIDO Y SE DEBE VISUALIZAR EN EL REPORTE DE STOCK DE PRODUCTOS QCOS DE RIVELINO."/>
    <s v="SE ACTUALIZA EL REPORTE PARA INFORMAR SOBRE EL SERA CON ML-U"/>
    <d v="2026-03-19T13:55:47"/>
    <d v="2026-03-20T12:37:11"/>
  </r>
  <r>
    <n v="19954"/>
    <s v="HOLGUIN PANTA LUCILA KARINA"/>
    <s v="230"/>
    <x v="7"/>
    <x v="36"/>
    <d v="2026-03-17T00:00:00"/>
    <s v="TIEMPO DE SERVICIO AL VENCIMIENTO.  SUMATORIA CUANDO ES INGRESANTES.  EVALUACION DE DESEMPEÑO.  YA SE TIENE UN REQUERIMIENTO DE MARY Y AÑOS ATRAS GABRIELA."/>
    <s v="SE MODIFICA EL NOMBRE DEL CAMPO A T/SERV EVALUACION, LA CUAL OBTIENE LA DIFERENCIA ENTRE LA ULTIMA EVALUACION Y LA FECHA DE INGRESO"/>
    <d v="2026-03-17T17:33:19"/>
    <d v="2026-03-17T18:00:24"/>
  </r>
  <r>
    <n v="19935"/>
    <s v="CONROY MONTESINOS RENZO YEFFERSON"/>
    <s v="P730"/>
    <x v="4"/>
    <x v="2"/>
    <d v="2026-03-16T00:00:00"/>
    <s v="BUENAS TARDES JONATHAN, FAVOR DE PONER UNA OPCIÓN DE FILTRO PARA EL REPORTE  PMATXREQ. ESTE FILTRO CONSTARÁ PARA SUPRIMIR LA FECHA DE ENTREGA DE HILANDERÍA PUESTO QUE VISUALMENTE SE ENCUENTRA DISGREGADO POR FECHA Y NO MUESTRA UN CONSOLIDADO HASTA SER COLOCADA LA FECHA DE ENTREGA. SOLO ADICIONAR ESE FILTRO PARA VER EL RESUMENT COMO TAL."/>
    <s v="SE AGREGA EL FILTRO DE BUSQUEDA &quot;CON/SIN FECHA DE ENTREGA&quot; PARA PODER AGRUPAR POR MATERIAL Y TENER TOTALES GENERALES"/>
    <d v="2026-03-17T09:49:13"/>
    <d v="2026-03-17T12:01:55"/>
  </r>
  <r>
    <n v="19934"/>
    <s v="YAÑEZ ARANIBAR JOSHELYN KAROL"/>
    <s v="210"/>
    <x v="9"/>
    <x v="2"/>
    <d v="2026-03-16T00:00:00"/>
    <s v="BUEN DIA, SE REQUIERE UN REPORTE DONDE SE PUEDA EVIDENCIAR LA SIGUIENTE INFORMACION.  PERMITIR LA BUSQUEDA MENSUAL Y ANUAL, ESTO PARA GENERAR REPORTES E INDICADORES. REQ FECHA DE REQ_x0009_ OC_x0009_ FECHA DE OC _x0009_ CENTRO DE COSTO_x0009_ PERSONA QUE REALIZA EL REQUERIMIENTO _x0009_ PROVEEDOR_x0009_ CODIGO DEL ARTICULO_x0009_ DESCRIPCION DEL ARTICULO_x0009_ CANTIDAD _x0009_ UM_x0009_ PRECIO UNITARIO SUB TOTAL_x0009_ IGV_x0009_ TOTAL GRACIAS"/>
    <s v="SE ENVIA EXCEL AL USUARIO PARA QUE CONFIRME LA INFORMACION REQUERIDA"/>
    <d v="2026-03-16T15:57:21"/>
    <m/>
  </r>
  <r>
    <n v="19955"/>
    <s v="CONROY MONTESINOS RENZO YEFFERSON"/>
    <s v="P730"/>
    <x v="4"/>
    <x v="36"/>
    <m/>
    <s v="BUENAS TARDES JONATHAN, FAVOR DE COLOCAR EL LOGO DE OEKO-TEX A LA HOJA DE RUTA DE TINOTERÍA. SE MANDÓ UN CORREO CON EL LOGO. SE COLOCARÍA EN LA ESQUINA SUPERIOR DERECHA."/>
    <s v="SE CREA LA FUNCION &quot;FIBRA_100ALGODON&quot; Y SE VALIDA LA APARICION DEL LOGO OEKOTEX DEPENDIENDO SI EL PEDIDO/PARTIDA ES 100% ALGODON"/>
    <d v="2026-03-18T15:27:37"/>
    <d v="2026-03-18T17:54:13"/>
  </r>
  <r>
    <n v="19892"/>
    <s v="YAÑEZ ARANIBAR JOSHELYN KAROL"/>
    <s v="210"/>
    <x v="9"/>
    <x v="37"/>
    <m/>
    <s v="BUEN DÍA, EN EL MODULO DE REQUERIMIENTOS TENEMOS CUADROS QUE NO UTILIZAMOS. FAVOR DE QUITAR LOS CUADROS RESALTADOS Y LA DESCRIPCIÓN DEL ARTÍCULO QUE SE AMPLIE, ESTO PORQUE TENEMOS QUE REVISAR LA DESCRIPCIÓN COMPLETA DEL ITEM."/>
    <s v="SE AUMENTA EL ANCHO DEL FORMULARIO PARA PODER MOSTRAR MAS DETALLE DEL ARTICULO"/>
    <d v="2026-02-28T11:37:01"/>
    <d v="2026-02-28T11:50:00"/>
  </r>
  <r>
    <n v="19926"/>
    <s v="ORBEZO MEDINA KAREN STACI"/>
    <s v="P730"/>
    <x v="4"/>
    <x v="30"/>
    <m/>
    <s v="BUENAS TARDES, JONATHAN TE ENVIO LOS REQUERIMIENTOS QUE ACORDAMOS PREVIAMENTE.  1. VISUALIZAR LA FECHA DE INGRESO DE MATERIAL EN EL REPORTE DE SEGUIMIENTO DE PROGRAMACIÓN DE TINTORERÍA (CUANDO EL MATERIAL INGRESE ALMACEN DEBE JALAR ESA FECHA PARA EL REPORTE). 2. EN EL SEGUIMIENTO DE PROGRAMACIÓN DE TINTORERÍA MOSTRAR TODOS LOS PEDIDOS INGRESADOS. (SIN RESTRICCIÓN)"/>
    <s v="SE VALIDA LO SOLICITADO"/>
    <d v="2026-03-10T15:27:00"/>
    <d v="2026-03-11T10:23:52"/>
  </r>
  <r>
    <n v="19814"/>
    <s v="ASTETE QUINTANA MARIA VICTORIA"/>
    <s v="250"/>
    <x v="6"/>
    <x v="5"/>
    <m/>
    <s v="SE SOLICITA DESARROLLAR UN CORREO DE AVISO PARA LAS AREAS INVOLUCRADAS CON LA SIGUIENTE INFORMACION: LISTADO DE SOLICITUDES DE TINTORERIA CON PEDIDO Y SIN CODIGO DE COLOR. DICHO AVISO SE ENVIARA A PRIMERA HORA TODOS LOS DIAS"/>
    <s v="SE DESARROLLA EL AVISO PARA EL USUARIO TINTOCAL3 EN EL PRIMER INGRESO DEL DIA AL SISTEMA LOGIX"/>
    <d v="2026-02-04T09:09:00"/>
    <d v="2026-02-05T08:24:00"/>
  </r>
  <r>
    <n v="19798"/>
    <s v="YAÑEZ ARANIBAR JOSHELYN KAROL"/>
    <s v="210"/>
    <x v="9"/>
    <x v="20"/>
    <d v="2026-02-03T00:00:00"/>
    <s v="SRA. MARIA / JONATHAN FAVOR DE ELIMINAR EL ITEM 1 DE LA LISTA YA QUE DESDE 01/02/2026 YA NO SOMOS AGENTES DE RETENCIÓN ESTO NO DEBE APARECER EN LAS OC"/>
    <s v="SE MODIFICA EL FORMATO SOLICITADO"/>
    <d v="2026-02-03T10:19:23"/>
    <d v="2026-02-03T10:28:57"/>
  </r>
  <r>
    <n v="19796"/>
    <s v="CHAVEZ TITO JOSE ANTONIO"/>
    <s v="310"/>
    <x v="0"/>
    <x v="38"/>
    <m/>
    <s v="MARÍA-JONATHAN ESTE TEMA TAMBIÉN LO TOCAMOS ES MUY TEDIOSO REGISTRO DE HEATHERS ME SOLICITA UN CODIGO Y MÁS ADELANTE ME PIDE LA REFERENCIA PERO NO PUEDO SALTEARLO ESTO ME DEMANDA ENTRAR A LA SOLICITUD DE HILANDERÍA VERIFICAR EL CODIGO Y PONERLO CUANDO YO DEBERÍA PONER SOLO LA REFERENCIA. REVISEN POR FAVOR"/>
    <s v="SE REDISEÑA EL FORMULARIO Y SE VALIDA SEGUN LO SOLICITADO"/>
    <d v="2026-02-02T16:32:00"/>
    <d v="2026-02-02T17:43:47"/>
  </r>
  <r>
    <n v="19782"/>
    <s v="SANTILLAN SALAZAR LLANET"/>
    <s v="220"/>
    <x v="3"/>
    <x v="16"/>
    <d v="2026-01-30T00:00:00"/>
    <s v="SE SOLICITA AGREGAR LAS DUAS EN LA COLUMNA EXPORTACION DEL REPORTE (RESUMEN COMPRAS: NACIONAL, EXTRANJERO Y PROVINCIAL) LAS CUALES SE OBTENDRAN DEL REGISTRO DE COMPRAS LIBRO 11, CON LAS CUENTA 20204010105 Y QUE LOS TIPOS DE DOCUMENTO SEAN DEL TIPO 50 (50,51,52,53,54) ASIMISMO CAMBIAR EL NOMBRE DE LA COLUMNA DE EXPORTACION A IMPORTACION"/>
    <s v="SE AGREGA LA COLUMNA SOLICITADA"/>
    <d v="2026-01-30T09:31:15"/>
    <d v="2026-01-30T15:44:00"/>
  </r>
  <r>
    <n v="19886"/>
    <s v="ASTETE QUINTANA MARIA VICTORIA"/>
    <s v="250"/>
    <x v="6"/>
    <x v="6"/>
    <m/>
    <s v="CREACION DE REPORTE ESTADISCTICO DE REQ. PENDIENTES VS ENTREGADOS ANUAL"/>
    <s v="SE CREA EL REPORTE SOLICITADO"/>
    <d v="2026-02-26T10:19:00"/>
    <d v="2026-02-26T16:19:59"/>
  </r>
  <r>
    <n v="19880"/>
    <s v="MARCOS CAHUAZA DIANA LUCIA"/>
    <s v="310"/>
    <x v="0"/>
    <x v="39"/>
    <d v="2026-03-02T00:00:00"/>
    <s v="HOLA JONATHAN; SE SOLICITA AJUSTAR REPORTE, PARA QUE SE PUEDA VISUALIZAR EL ÍTEM DE LA REFERENCIA Y NO APAREZCA COMO ASTERISCOS. ADICIONAL A ELLO, SE PODRÍA AGREGAR UNA COLUMNA QUE INDIQUE LA INTENSIDAD DE COLOR? ME AYUDARÍA BASTANTE, YA QUE TENGO QUE REALIZAR DOBLE BÚSQUEDA ACTUALMENTE PARA PODER SABER LA INTENSIDAD."/>
    <s v="SE AGREGA LA COLUMNA DE INTENSIDAD"/>
    <d v="2026-02-25T13:05:31"/>
    <d v="2026-02-25T13:37:15"/>
  </r>
  <r>
    <n v="19714"/>
    <s v="MARCACUZCO PEREZ MARIA ELENA"/>
    <s v="P550"/>
    <x v="5"/>
    <x v="12"/>
    <d v="2026-01-14T00:00:00"/>
    <s v="JONATHAN BS NS SE REQUIERE QUE SE HABILITE LA IMPRESIÓN SIMILAR A LA DE CONTROL DE CALIDAD, COMO SE MUESTRA EN LA FOTO, ADJUNTA. AGREGAR LOS CAMPOS DE MAQUINA, RELACION DE BAÑO, LUCES Y TEMPERATURA, LOS DOS PRIMEROS SE JALA LA INFORMACIÓN DE SISTEMA Y LOS 2 SGTES QUEDAN EN BLANCO PARA Q EL USUARIO LO COMPLETE."/>
    <s v="SE HABILITA EL BOTON DE IMPRESION DE TICKETS EN LA VALIDACION DE RECETA. SE CREA EL REPORTE DE IMPRESION DE TICKETS "/>
    <d v="2026-01-15T17:16:45"/>
    <d v="2026-01-16T13:15:00"/>
  </r>
  <r>
    <n v="19837"/>
    <s v="TORRES PEREZ BRAYAN JOSSUE"/>
    <s v="P730"/>
    <x v="4"/>
    <x v="10"/>
    <d v="2026-02-13T00:00:00"/>
    <s v="BUENAS TARDES, JONATHAN: POR MEDIO DEL PRESENTE, SOLICITO REALIZAR UNA MODIFICACIÓN EN EL FORMATO DE LAS RECETAS DEL ÁREA DE HILANDERÍA. ESPECÍFICAMENTE, EN LA SECCIÓN CORRESPONDIENTE AL REGISTRO DE BOLSAS POR PESADOR, SE REQUIERE INCORPORAR UNA NUEVA COLUMNA DENOMINADA &quot;FIRMA SUPERVISOR&quot;. EL OBJETIVO DE ESTA ACTUALIZACIÓN ES FORTALECER EL CONTROL Y TRAZABILIDAD EN LA ETAPA INICIAL DEL PROCESO PRODUCTIVO, ASEGURANDO UNA VERIFICACIÓN DE LAS BOLSAS PESADAS POR CADA OPERARIO Y DEJANDO CONSTANCIA LA FIRMA DEL SUPERVISOR DEL TURNO. ADICIONALMENTE, SOLICITO AGREGAR DOS FILAS MÁS EN DICHA SECCIÓN, CONSIDERANDO QUE EN PEDIDOS DE MAYOR VOLUMEN SE REQUIERE REGISTRAR MÁS DE TRES ÍTEMS PARA LA CORRECTA CONTABILIZACIÓN DE LAS BOLSAS POR OPERARIO.  MAYOR DETALLE EN EL CORREO, GRACIAS. "/>
    <s v="SE HABILITA LA COLUMNA SOLICITADA"/>
    <d v="2026-02-16T15:05:31"/>
    <d v="2026-02-16T15:20:07"/>
  </r>
  <r>
    <n v="19799"/>
    <s v="CONROY MONTESINOS RENZO YEFFERSON"/>
    <s v="P730"/>
    <x v="4"/>
    <x v="20"/>
    <m/>
    <s v="BUENAS TARDES JONATHAN,  JASON EN SU MOMENTO HIZO EL REQUERIMIENTO CON INDICACIONES DADAS PARA LA MODIFICACIÓN DEL ENCONADO DE LOS PEDIDOS QUE INGRESABA VENTAS.  EN CASO NO HAYA QUEDADO CLARO, LA IDEA ERA QUE COMERCIAL DESDE QUE INGRESE LOS PEDIDOS TENÍAN QUE ESPECIFICAR EN SUS OPCIONES DE ENCONADO EL FORMATO QUE CORRESPONDÍA. ESTO SE TIENE QUE RAMIFICAR PARA LA PLANTA DE TINTORERÍA E HILANDERÍA O ENFOCADAS A LAS LÍNEAS DE PRODUCCIÓN QUE SE ENCUENTRAN CLASIFICADAS EN EL SISTEMA. ACTUALMENTE, POR DEFECTO TODAS LAS PARTIDAS (TANTO DE HILANDERÍA COMO DE TINTORERÍA) SE ENCUENTRAN CON EL FORMATO 1=1, 1=2 (MÚLTIPLOS) Y CANTIDADES COMO 48, 64, 96. PARA TINTORERÍA, SOLO DEBE FIGURAR LA OPCIÓN DE MÚLTIPLOS, YA QUE, AUNQUE EL LOTE SEA EL MISMO, EL TEÑIDO NUNCA ES 100% UNIFORME DENTRO DE UN RODETE. (INICIO (MAYOR CONTACTO CON EL TEÑIDO), MEDIO (ES LA MÁS ESTABLE) Y FINAL (MENOR RENOVACIÓN DE BAÑO CON POSIBLES VARIACIONES)). ESTO GENERA MICRO DIFERENCIAS DE TONO QUE A SIMPLE VISTA NO SIEMPRE..."/>
    <s v="SE VALIDA LO SOLICITADO EN EL REGISTRO DE PEDIDOS DEL AREA COMERCIAL"/>
    <d v="2026-02-05T09:21:00"/>
    <d v="2026-02-05T11:21:48"/>
  </r>
  <r>
    <n v="19742"/>
    <s v="CARBAJAL SANCHEZ ROSE MARIE"/>
    <s v="P550"/>
    <x v="5"/>
    <x v="40"/>
    <m/>
    <s v="SE SOLICITA MOSTRAR LA SUMATORIA DE % DE COLORANTES EN EL CALCULO DE RECETAS (EN USO), SEGUN LOS COLORANTES DE LA RECETA MAESTRA"/>
    <s v="SE DESARROLLA LO SOLICITADO"/>
    <d v="2026-01-21T09:51:08"/>
    <d v="2026-01-21T10:31:12"/>
  </r>
  <r>
    <n v="19726"/>
    <s v="CHAVEZ TITO JOSE ANTONIO"/>
    <s v="310"/>
    <x v="0"/>
    <x v="41"/>
    <m/>
    <s v="SE SOLICITA QUE EN EL REGISTRO DE PEDIDOS DE STOCK, SE AGREGUEN LAS SGTES COLUMNAS: - COLOR DEL CLIENTE - CLIENTE POR CADA BOLSA DEL STOCK"/>
    <s v="SE REALIZA EL DESARROLLO SOLICITADO"/>
    <d v="2026-01-16T10:03:25"/>
    <d v="2026-01-16T10:22:00"/>
  </r>
  <r>
    <n v="19842"/>
    <s v="CHAVEZ TITO JOSE ANTONIO"/>
    <s v="310"/>
    <x v="0"/>
    <x v="42"/>
    <m/>
    <s v="FAVOR DE AGREGAR OPCION DE ANTICIPOS EN EL TABLERO DE PEDIDOS DE STOCK ASÍ MISMO UN CHECK PARA SELECCIONAR TODOS LAS BOLSAS DE UN ARTÍCULO EN CONSULTA"/>
    <s v="SE AGREGA LA FUNCIONALIDAD DE MARCAR TODOS LOS ITEMS DEL BLOQUE DE ETIQUETAS, ASIMISMO SE HABILITA EL BOTON PARA ABRIR LA FORMA DE ANTICIPOS"/>
    <d v="2026-02-16T12:19:47"/>
    <d v="2026-02-16T13:11:31"/>
  </r>
  <r>
    <n v="19728"/>
    <s v="HOLGUIN PANTA LUCILA KARINA"/>
    <s v="230"/>
    <x v="7"/>
    <x v="41"/>
    <d v="2026-01-21T00:00:00"/>
    <s v="SE SOLICITA MODIFICAR EL REPORTE DE ESTADISTICO PERSONAL ANUAL POR SEXO  ASISMIMO LA CONDICION DE CON O SIN PRACTICANTES."/>
    <s v="SE AGREGA EL RESUMEN EN EL REPORTE SOLICITADO"/>
    <d v="2026-01-17T09:57:31"/>
    <d v="2026-01-19T12:56:34"/>
  </r>
  <r>
    <n v="19922"/>
    <s v="YAÑEZ ARANIBAR JOSHELYN KAROL"/>
    <s v="210"/>
    <x v="9"/>
    <x v="43"/>
    <d v="2026-03-10T00:00:00"/>
    <s v="SRA. MARIA FAVOR DE MODIFICAR EL FORMATO DE REQUERIMIENTO QUE SE NUMERE LOS ITEMS QUE SALGA EL VALOR UNITARIO SUB TOTAL  IGV Y TOTAL. ASIMISMO SE ELIMINEN LAS COLUMNAS STOCK HISTORICO Y MINIMO"/>
    <s v="SE AGREGARON Y ELIMINARON LAS COLUMNAS SOLICITADAS"/>
    <d v="2026-03-10T09:28:35"/>
    <d v="2026-03-10T09:54:55"/>
  </r>
  <r>
    <n v="19833"/>
    <s v="SALAS GONZALEZ MARY MONIQUE"/>
    <s v="230"/>
    <x v="7"/>
    <x v="10"/>
    <d v="2026-02-13T00:00:00"/>
    <s v="SE REQUIERE REPORTE DE LOS EVALUADORES  Y EL PERSONAL SUPEDITADO POR CENTRO DE COSTO, ADJUNTO MODELO POR CORREO"/>
    <s v="SE CREA LA EXPORTACION SOLICITADA"/>
    <d v="2026-02-16T08:42:56"/>
    <d v="2026-02-16T10:38:28"/>
  </r>
  <r>
    <n v="19902"/>
    <s v="CHAVEZ TITO JOSE ANTONIO"/>
    <s v="310"/>
    <x v="0"/>
    <x v="44"/>
    <d v="2026-03-04T00:00:00"/>
    <s v="MARIA FAVOR DE PERMITIR AGREGAR OBSERVACIONES AL PEDIDO DE CRUDO COMO LO ES EN TEÑIDOS"/>
    <s v="SE VALIDA LO SOLICITADO"/>
    <d v="2026-03-10T09:56:56"/>
    <d v="2026-03-10T12:34:59"/>
  </r>
  <r>
    <n v="19761"/>
    <s v="CHAVEZ TITO JOSE ANTONIO"/>
    <s v="310"/>
    <x v="0"/>
    <x v="45"/>
    <m/>
    <s v="SOLICITO QUE EL CODIGO DE COLOR COLONIAL SE VISUALICE EN LA IMPRESIÓN DE SOLICITUD DE MUESTRAS"/>
    <s v="SE AGREGA AL CODIGO DE COLOR"/>
    <d v="2026-01-26T17:12:50"/>
    <d v="2026-01-26T17:21:24"/>
  </r>
  <r>
    <n v="19699"/>
    <s v="CHAVEZ TITO JOSE ANTONIO"/>
    <s v="310"/>
    <x v="0"/>
    <x v="9"/>
    <d v="2026-01-07T00:00:00"/>
    <s v="SOLICITO QUE LA OPCION APROBADA APAREZCA EN LA IMPRESIÓN DE LA SOLICITUD DE DESARROLLO DE COLOR ASÍ MISMO EN EL REPORTE QUE EXPORTA LOS LAB DIPS SOLICITO QUE APARECZCA LA COLUMNA QUE INDICA EL PANTONE Y LO QUE SE ADJUNTA (MECHON, PANTONE ETC)"/>
    <s v="SE AGREGA LA COLUMNA &quot;OPCION APROBADA&quot; EN EL REPORTE"/>
    <d v="2026-01-07T09:36:31"/>
    <d v="2026-01-07T10:29:00"/>
  </r>
  <r>
    <n v="19869"/>
    <s v="MARCACUZCO PEREZ MARIA ELENA"/>
    <s v="P550"/>
    <x v="5"/>
    <x v="46"/>
    <d v="2026-02-20T00:00:00"/>
    <s v="JONATHAN SE SOLICITA AGREGAR LAS OBSERVACIONES DE LA PANTALLA DE CONTROL DE CALIDAD TINTORERIA, EN EL CORREO QUE LLEGAN A LOS INVOLUCRADOS CUANDO SE RECHAZA UN PEDIDO"/>
    <s v="SE HABILITA EN EL MENSAJE DE CORREO EL DETALLE DE LAS OBSERVACIONES DEL TECNICO EVALUADOR"/>
    <d v="2026-02-20T16:45:36"/>
    <d v="2026-02-20T17:22:43"/>
  </r>
  <r>
    <n v="19703"/>
    <s v="RAMIREZ JUAPE IRMA"/>
    <s v="210"/>
    <x v="9"/>
    <x v="47"/>
    <d v="2026-01-08T00:00:00"/>
    <s v="FAVOR DE GENERAR  PDF DE  RELACION DE ANTICIPOS PARA ENVIARSE A LOS CLIENTES."/>
    <s v="SE HABILITA LA EXPORTACION A PDF"/>
    <d v="2026-01-09T09:35:00"/>
    <d v="2026-01-09T09:56:00"/>
  </r>
  <r>
    <n v="19840"/>
    <s v="CHAVEZ TITO JOSE ANTONIO"/>
    <s v="310"/>
    <x v="0"/>
    <x v="42"/>
    <d v="2026-02-17T00:00:00"/>
    <s v="JONATHAN HABLAMOS DE ESTO, ME AYUDA PARA TODOS LOS CLIENTES PERO SOBRE TODO PARA LACOSTE RESPECTO A LA TRAZBILIDAD DE LA PARTIDA MADRE DE DESPACHO, ESTO DEBE SER TODO EN UNA SOLA CELDA EJ 88022.1-2-3 , ASÍ MISMO LA FECHA DEL DESPACHO DE LAS PARTIDAS GENERADAS PARA CLIENTE PERSE TU AYUDA CON ESO. SI HAY DUDA AVISAR. APROVECHANDO : PONER EL VALOR DEL COSTO / KG DEL ARTÍCULO, SI BIEN ESTA EL MONTO TOTAL Y POR MI MACRO HAGO LA DIVISION CON EL PESO ASÍ OBTENGO EL PRECIO /KG, EN LOS CASOS QUE EL VALOR DEL ARTICULO  ES SOLES LA FORMULA ME DEJA MUCHOS DECIMALES YA QUE LO JALO DEL VALOR TOTAL EN DOLARES QUE ES POR LO GENERAL QUE SE VENDE. PEDIDOS-REPORTE-VALORIZADO EN EXCEL"/>
    <s v="SE CREA EL FORMULARIO DE EXPORTACION DE LA INFORMACION SOLICITADA"/>
    <d v="2026-02-18T12:26:14"/>
    <d v="2026-02-19T17:25:23"/>
  </r>
  <r>
    <n v="19818"/>
    <s v="MARCACUZCO PEREZ MARIA ELENA"/>
    <s v="P550"/>
    <x v="5"/>
    <x v="48"/>
    <d v="2026-02-10T00:00:00"/>
    <s v="JONATHAN BS DS SE SOLICITA INGRESAR UNA COLUMNA DE FECHA DE INGRESO DEL PEDIDO DE PCP AL LABORATORIO AL REPORTE DE VALIDACION DE RECETAS, ESPECIFICAMENTE LA FECHA EN LA QUE PONE QUE &quot;TIENE MATERIAL&quot;"/>
    <s v="SE AGREGA LA COLUMNA SOLICITADA"/>
    <d v="2026-02-23T12:49:10"/>
    <d v="2026-02-23T13:05:45"/>
  </r>
  <r>
    <n v="19882"/>
    <s v="MARCACUZCO PEREZ MARIA ELENA"/>
    <s v="P550"/>
    <x v="5"/>
    <x v="39"/>
    <d v="2026-03-02T00:00:00"/>
    <s v="JONATHAN BS NS SE ENVIO UN CORREO ESPECIFICANDO EL REPORTE NECESARIO PARA CONTROLAR EL TIEMPO DE DEMORA DE LAS SOLICITUDES DE DESARROLLO DE LABORATORIO ALGUNA DUDA ME LLAMAS."/>
    <s v="SE CREA EL REPORTE SOLICITADO"/>
    <d v="2026-03-26T09:20:00"/>
    <d v="2026-03-02T09:39:55"/>
  </r>
  <r>
    <n v="19879"/>
    <s v="MARCACUZCO PEREZ MARIA ELENA"/>
    <s v="P550"/>
    <x v="5"/>
    <x v="39"/>
    <d v="2026-03-02T00:00:00"/>
    <s v="JONATHAN BS DS DESEAMOS AGREGAR, DESDE LA VENTANA DE VALIDACIÓN DE RECETA, LA TEMPERATURA Y QUE SE VISUALICE EN EL ENCABEZADO  DEL ANÁLISIS DE PARTIDA. MOTIVO, NO SE REGISTRA LA TEMPERATURA DE TEÑIDO, SOLO LA UBICAMOS EN LA CURVA, EL FORMATO DE LAS CORRIDAS Y EN EL FORMATO DE PLANTA LUEGO SE PIERDE LA INFORMACIÓN PARA LABORATORIO."/>
    <s v="SE AGREGA EL CAMPO &quot;TEMPERATURA TEÑIDO&quot; AL REGISTRO DE VALIDACION DE RECETA, Y SE PUEDE VISUALIZAR EN EL TICKET DE VALIDACION"/>
    <d v="2026-02-26T16:20:51"/>
    <d v="2026-02-26T16:51:10"/>
  </r>
  <r>
    <n v="19803"/>
    <s v="GOMEZ HINOJOSA MARIA FERNANDA"/>
    <s v="310"/>
    <x v="0"/>
    <x v="5"/>
    <d v="2026-02-04T00:00:00"/>
    <s v="SE SOLICITA ADICIONAR A LA VENTANA DE &quot;EVALUACION DE PARTIDAS COMERCIAL&quot; EL BOTON DE &quot;RECHAZAR&quot;."/>
    <s v="SE AGREGA LA OPCION DEL RECHAZO DE LA EVALUACION POR PARTE DEL CLIENTE, EL CUAL SOLO ENVIARA UN EMAIL A LOS INTERESADOS, ASIMISMO GUARDARA UN INDICADOR DE QUE DICHA EVALUACION FUE RECHAZADA"/>
    <d v="2026-02-05T11:14:52"/>
    <d v="2026-02-05T14:00:52"/>
  </r>
  <r>
    <n v="19768"/>
    <s v="TORRES PEREZ BRAYAN JOSSUE"/>
    <s v="P730"/>
    <x v="4"/>
    <x v="17"/>
    <d v="2026-01-29T00:00:00"/>
    <s v="BUENAS TARDES JONATHAN, HAY ALGUNOS LOTES QUE NO RECONOCE EL CUADRO DE SEGUIMIENTO DE HILANDERIA, POR EJEMPLO: 691-A, 1196-MD. LO ANTERIOR ME IMPIDE VER SU HISTORIAL EN EL PROCESO PRODUCTIVO. ADEMÁS, QUISIERA QUE ME AGREGUES LA POSIBILIDAD DE PODER DESCARGAR EN EXCEL TODA LA DATA MOSTRADA EN EL CUADRO CON EL FILTRO DE PEDIDOS YA DESPACHADOS, ESTO CON EL FIN DE OBTENER MI MERMA EN CADA PROCESO PRODUCTIVO Y MÁS QUE TODO CON EL FINAL QUE SERÍA EL DESPACHO. "/>
    <s v="SE AGREGA LA FUNCIONALIDAD DE EXPORTACION A EXCEL"/>
    <d v="2026-02-02T11:28:00"/>
    <d v="2026-02-02T15:30:02"/>
  </r>
  <r>
    <n v="19678"/>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8) ACCESO A FICHAS TÉCNICAS INCORPORAR UN ACCESO DIRECTO A LAS FICHAS TÉCNICAS, TOMANDO COMO REFERENCIA LOS AFFIDAVITS CORRESPONDIENTES."/>
    <s v="SE DESARROLLA EL MODULO DE LISTADO DE FICHAS TECNICAS Y SU DESCARGA EN PDF"/>
    <d v="2026-02-05T15:36:08"/>
    <d v="2026-02-06T16:11:53"/>
  </r>
  <r>
    <n v="19676"/>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6) CRITERIO PARA ENCONADOS DEFINIR Y APLICAR EL ENCONADO EN FUNCIÓN DE LA VENTANA DEL PROCESO, CONSIDERANDO SI CORRESPONDE A TINTORERÍA O CRUDO/HEATHER."/>
    <s v="SE VALIDA EL LISTADO DE ENCONADOS SEGUN EL FORMULARIO DE REGISTRO DE PEDIDOS, SE COORDINO ENTRE PCP Y COMERCIAL)"/>
    <d v="2026-02-05T09:08:12"/>
    <d v="2026-02-05T10:55:27"/>
  </r>
  <r>
    <n v="19482"/>
    <s v="TORRES PEREZ BRAYAN JOSSUE"/>
    <s v="P730"/>
    <x v="4"/>
    <x v="50"/>
    <d v="2025-09-24T00:00:00"/>
    <s v="BUENAS TARDES JONATHAN SOLICITO INCORPORAR EN EL PROGRAMA UNA NUEVA VENTANA TITULADA &quot;SEGUIMIENTO DE HILANDERIA&quot;, LA CUAL TIENE COMO FINALIDAD MEJORAR EL CONTROL Y TRAZABILIDAD DE LAS PARTIDAS, ASÍ COMO IDENTIFICAR ERRORES EN LOS REGISTROS DE PRODUCCIÓN Y FACILITAR EL ANÁLISIS DE CAUSAS RAÍZ. ESTA HERRAMIENTA SERÁ DE GRAN UTILIDAD PARA EL EQUIPO DE PCP.  1-CUADRO DETALLADO: ESTA SECCIÓN CONSISTIRÁ EN UNA TABLA QUE MUESTRE LAS PARTIDAS CON FECHAS DE APROBACIÓN, ORDENADAS DE FORMA DESCENDENTE (DE LA MÁS RECIENTE A LA MÁS ANTIGUA.  LA INFORMACIÓN PRESENTADA DEBE INCLUIR -CLIENTE. -NÚMERO DE PEDIDO E ÍTEM. -MATERIALES Y LOTE. -INFORMACIÓN DE LA RECETA: KILOGRAMOS BRUTOS Y NETOS. -INFORMACIÓN DE PRODUCCIÓN: REGISTROS DE LAS MÁQUINAS INVOLUCRADAS (BATÁN, MANUARES, PABILERAS, CONTINUAS, RETORCEDORAS EN CASO DE CABOS). -REVISADO Y ALMACEN DE TERMINADOS( LO PESADO)."/>
    <s v="SE CREA EL PROGRAMA &quot;SEGUIMIENTO DE HILANDERIA&quot; SEGUN LO SOLICITADO EN EL CORREO DEL 15/01/2026 10:18 AM"/>
    <d v="2026-01-21T10:13:00"/>
    <d v="2026-01-23T18:54:57"/>
  </r>
  <r>
    <n v="19674"/>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4) ORDEN DE COMPRA INTERNA AUTOMÁTICA GENERAR LA OC INTERNA DE MANERA AUTOMÁTICA Y QUE ESTA SE CARGUE DIRECTAMENTE EN EL SISTEMA."/>
    <s v="SE CREA EL ACCESO EN EL REGISTRO DE PEDIDOS DE TINTORERIA Y CRUDO, MG Y HEATHERS PARA PODER GENERAR EN PDF LA ORDEN DE COMPRA INTERNA"/>
    <d v="2026-01-28T10:22:51"/>
    <d v="2026-01-29T15:52:40"/>
  </r>
  <r>
    <n v="19673"/>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3) PEDIDO ADICIONAL  REGISTRO DE ANTICIPO HABILITAR EN LA PANTALLA DE PEDIDO ADICIONAL UN BOTÓN PARA EL REGISTRO DEL ANTICIPO, DE MODO QUE TODA LA INFORMACIÓN QUEDE CONSOLIDADA EN UN SOLO PEDIDO."/>
    <s v="SE INTEGRA EN LOS REGISTROS DE PEDIDO UN BOTON ATAJO HACIA EL REGISTRO DE ANTICIPO, ADICIONALMENTE EN EL ANTICIPO SE COPIA EN EL DETALLE EL PEDIDO ASOCIADO"/>
    <d v="2026-01-14T09:27:18"/>
    <d v="2026-01-14T10:30:15"/>
  </r>
  <r>
    <n v="19672"/>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2) SPOT (DETRACCIÓN) MAYOR AL MONTO DE 700 SEA EN FORMA AUTOMÁTICA"/>
    <s v="SE HABILITA LO SOLICITADO"/>
    <d v="2026-01-13T15:22:09"/>
    <d v="2026-01-13T17:22:20"/>
  </r>
  <r>
    <n v="19671"/>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1) APROBACIÓN DE LABDIPS DE PRODUCCIÓN EN EL SISTEMA INCORPORAR UN VISADO OBLIGATORIO DEL ÁREA DE VENTAS UNA VEZ QUE EL CLIENTE HAYA APROBADO EN MECHÓN DE PRODUCCIÓN. "/>
    <s v="SE DESARROLLA LA APROBACION DE EVALUACION DE PARTIDAS POR PARTE DEL CLIENTE"/>
    <d v="2026-01-06T08:48:34"/>
    <d v="2026-01-08T15:36:13"/>
  </r>
  <r>
    <n v="19312"/>
    <s v="TORRES PEREZ BRAYAN JOSSUE"/>
    <s v="P730"/>
    <x v="4"/>
    <x v="51"/>
    <d v="2025-07-18T00:00:00"/>
    <s v="BUENAS TARDES JONATHAN, ME PERMITO SOLICITAR LA INCORPORACIÓN DE UNA FUNCIONALIDAD EN LA PANTALLA DE PESAJE UTILIZADA POR LOS OPERARIOS DE PESAJE, ESPECÍFICAMENTE LA VISUALIZACIÓN DEL ACUMULADO EN KILOGRAMOS (KG), HUSOS INACTIVOS(HI), HORA INICIAL Y FINAL CORRESPONDIENTE A LAS PARADAS TOTALES ASOCIADAS A PEDIDOS ESPECIALES. ESTA FUNCIONALIDAD PERMITIRÁ LLEVAR UN MEJOR CONTROL DEL PESO ACUMULADO PARA ESTE TIPO DE PEDIDOS EN CUANTO A TÍTULO Y LOTE. EN EL CASO DE LA PRODUCCIÓN EN LÍNEA -YA SEA PARA PRODUCTOS TIPO AKALA O AMERICANO - CONSIDERO QUE NO SERÍA APROPIADO MOSTRAR LOS KILOGRAMOS TOTALES, YA QUE ESTO PODRÍA DAR LUGAR A UNA INTERPRETACIÓN ERRÓNEA DE UNA POSIBLE SOBREACUMULACIÓN POR LOTE. SIN EMBARGO, SÍ SERÍA ÚTIL VISUALIZAR LAS ÚLTIMAS 10 PARADAS REALIZADAS SEA PRODUCCIÓN EN LÍNEA O PEDIDOS ESPECIALES, SOBREPASANDO ESTA QUE MUESTRE DESPUÉS DEL 2-11, 3-12 . 4-13 CONSECUENTEMENTE ENVIE CORREO PARA EL DETALLADO, GRACIAS."/>
    <s v="NO PROCEDE POR FALTA INFORMACIÓN EN EL REGISTRO DE PRODUCCION"/>
    <d v="2025-07-15T15:02:32"/>
    <d v="2026-03-27T00:00:00"/>
  </r>
  <r>
    <n v="19468"/>
    <s v="TOSCANO CONDORI ARMANDO MANUEL"/>
    <s v="280"/>
    <x v="11"/>
    <x v="52"/>
    <d v="2025-09-19T00:00:00"/>
    <s v="BUENAS TARDES, REQUIERO QUE EN LA PESTAÑA DE CONSULTA DE PERSONAL, SALGA EL CAMBIO EN EL CENTRO DE COSTRO DEL TRABAJADOR, ES DECIR SI INGRESO A PREPARATORIA Y DESPUES DE 1 AÑO CAMBIO A PLANEAMIENTO, ESTO SALGA REFLEJADO EN ESE REPORTE, IGUAL PASO EMAIL. CENTRO DE COSTO - PUESTO - FECHA"/>
    <s v="SE AGREGA EL BLOQUE DE INFORMACION SOLICITADO (HISTORICO CENTRO DE COSTOS)"/>
    <d v="2026-01-21T10:38:00"/>
    <d v="2026-01-22T12:39:49"/>
  </r>
  <r>
    <n v="18623"/>
    <s v="SALAS GONZALEZ MARY MONIQUE"/>
    <s v="230"/>
    <x v="7"/>
    <x v="53"/>
    <d v="2024-10-18T00:00:00"/>
    <s v="2._x0009_SE PUEDA GENERAR UNA OPCIÓN EN LA VENTANA DE EVALUACIÓN DE DESEMPEÑO DE PERSONAL, DONDE AL REGISTRAR LA FECHA ACTUAL,  TENGA LA OPCIÓN DE ACTUALIZAR &quot;EL RESPONSABLE O EVALUADOR&quot; EN AUTOMÁTICO. CORREO DEL 17.10"/>
    <s v="SE CREA EL FORMULARIO DE ACTUALIZACION DE EVALUADORES"/>
    <d v="2026-02-25T10:00:00"/>
    <d v="2026-02-25T13:01:17"/>
  </r>
  <r>
    <n v="18632"/>
    <s v="PAMPA PAMPA ESTEFANY JOSELYN"/>
    <s v="230"/>
    <x v="7"/>
    <x v="54"/>
    <d v="2024-10-21T00:00:00"/>
    <s v="REPORTE DE APROBACIÓN DE HORAS EXTRAS POR ÁREAS EN EL SISTEMA LOGIX CON LOS SIGUIENTES PUNTOS A CONSIDERAR: -LAS HORAS EXTRAS SE IMPORTARÁN AL LOGIX CUANDO R.H. PROCESE LAS MARCACIONES Y DE PASE AL SUPERVISOR PARA QUE PUEDA VISUALIZAR. -GENERAR UN REPORTE DE HORAS EXTRAS NO AUTORIZADAS -GENERAR UN REPORTE DE HORAS EXTRAS QUE NO COINCIDAN CON EL AQUARIUS. -GENERAR UN REPORTE DE HORAS EXTRAS COMPENSADAS"/>
    <m/>
    <m/>
    <m/>
  </r>
  <r>
    <n v="18181"/>
    <s v="TUPAC NEVADO GISELA CARINA"/>
    <s v="220"/>
    <x v="3"/>
    <x v="55"/>
    <d v="2024-03-14T00:00:00"/>
    <s v="PERMITIR ANULAR COMPROBANTES EMITIDOS EN AUTOMATICO"/>
    <m/>
    <m/>
    <m/>
  </r>
  <r>
    <n v="19992"/>
    <s v="TORRES PEREZ BRAYAN JOSSUE"/>
    <s v="P730"/>
    <x v="4"/>
    <x v="1"/>
    <d v="2026-03-26T00:00:00"/>
    <s v="SE SOLICITA CREAR UN MODULO DE REGISTRO DE PRODUCCION DE PREPARATORIA EN TECNOLOGIA WEB"/>
    <s v="SE DESARROLLA LO SOLICITADO"/>
    <d v="2026-03-18T10:58:00"/>
    <m/>
  </r>
  <r>
    <n v="20012"/>
    <s v="ASTETE QUINTANA MARIA VICTORIA"/>
    <s v="250"/>
    <x v="6"/>
    <x v="0"/>
    <d v="2026-03-18T00:00:00"/>
    <s v="GENERAR PANTALLA DE CONSULTA DE LOS PEDIDOS VS GUIAS VS FACTURAS ACEPTADAS POR SUNAT, PARA QUE EL USUARIO DE SGC TENGA LA FACILIDAD DE DESCARGAR LAS GUIAS Y FACTURA RELACIONADAS A PEDIDO DE GOTS Y ENVIALAS AL TRAMITE DE SU CERTIFICADO"/>
    <s v="SE GENERA LAS CONSULTAS Y SE OTORGA LOS ACCESOS A LA PLATAFORMA DE BIZLINKS PARA PODER VISUALIZAR COMPROBAANTES Y GUIAS NO ENCONTRADAS"/>
    <d v="2026-03-18T16:00:00"/>
    <d v="2026-03-25T10:00:00"/>
  </r>
  <r>
    <n v="20013"/>
    <s v="ASTETE QUINTANA MARIA VICTORIA"/>
    <s v="250"/>
    <x v="6"/>
    <x v="29"/>
    <d v="2026-03-13T00:00:00"/>
    <s v="SE REQUIERE UN NUEVO PROCESO DE DESCARGA DE CORREOS DE LOS PROVEEDORES XML, PDF, CDR CON LAS MISMAS FUNCIONALIDADES DE DESARROLLO  DE SENCORP ADICIONANDO MEJORAS EN EL PROCESO QUE FACILITE A LOGISTICA EN SU GESTION DE COMPRAS"/>
    <s v="SE CONFIGURA DESCARGA DE CORREOS DE DOCUMENTOS.ELECTRONICOS@COLONIAL.COM.PE, SE DESCARGA LOS DATOS DE LOS CORREOS ENVIADO EN DIFERENTES MODALIDADES, SE CARGA A TABLAS PARA EFECTUAR LAS VALIDACIONES Y DEL ENVIO PARA RESPUESTAS DE SUNAT"/>
    <d v="2026-03-13T09:30:00"/>
    <m/>
  </r>
  <r>
    <n v="18896"/>
    <s v="TUPAC NEVADO GISELA CARINA"/>
    <s v="220"/>
    <x v="3"/>
    <x v="56"/>
    <d v="2025-01-29T00:00:00"/>
    <s v="SE REQUIERE UN REPORTE DE INVENTARIO DONDE ME APAREZCA: ARTICULO, DESCRIPCION,  EL SALDO ACTUAL, FECHA DEL ULTIMA COMPRA O INGRESO DE PLANTA (SOLO PT), FECHA DE ULTIMA SALIDA, PRECIO PROMEDIO DEL ULTIMO CIERRE, PRECIO DE ULTIMA COMPRA  OPCIONES PARA TODOS LOS ALMACENES Y ARTICULOS  "/>
    <s v="SE CREO UN REPORTE NUEVO Y UNA OPCION NUEVA EN EL MENU DE INVENTARIO"/>
    <d v="2026-03-11T15:00:00"/>
    <d v="2026-03-11T17:00:00"/>
  </r>
  <r>
    <n v="19990"/>
    <s v="CHAVEZ TITO JOSE ANTONIO"/>
    <s v="310"/>
    <x v="0"/>
    <x v="1"/>
    <d v="2026-03-25T00:00:00"/>
    <s v="SE SOLICITA AGREGAR EL ITEM DE CERTIFICADO DE GOTS PARA LOS PEDIDOS DE HEATHER"/>
    <m/>
    <m/>
    <m/>
  </r>
  <r>
    <n v="19878"/>
    <s v="PAMPA PAMPA ESTEFANY JOSELYN"/>
    <s v="230"/>
    <x v="7"/>
    <x v="33"/>
    <d v="2026-03-02T00:00:00"/>
    <s v="MODIFICAR PARA QUE LAS ALERTAS DE VENCIMIENTO DE VACACIONES SALGA DE R.H."/>
    <m/>
    <m/>
    <m/>
  </r>
  <r>
    <n v="19977"/>
    <s v="SANTILLAN SALAZAR LLANET"/>
    <s v="220"/>
    <x v="3"/>
    <x v="28"/>
    <d v="2026-03-23T00:00:00"/>
    <s v="SRA MARIA SE SOLICITA QUE AUTOMATICE LO SIGUIENTE EN EL MODULO DE ACTIVO: -OPCION PARA SUBIR LA FOTO DEL ACTIVO FIJO. -LAS FICHAS DE LOS ACTIVOS DE ALTA Y BAJA DEBEN SER GENERADOS EN EL SISTEMAS Y ENVIADOS EN AUTOMATICO AL  JEFE DE MANTENIMIENTO Y EL JEFE DEL AREA DONDE SE ENCUENTRA EL EQUIPO PARA LA REVISION Y FIRMA RESPECTIVA. ADEMAS DEBE LLEGARLES UN AVISO COMO RECORDATORIO HASTA QUE SEA FIRMADA LA FICHAS. "/>
    <m/>
    <m/>
    <m/>
  </r>
  <r>
    <n v="19952"/>
    <s v="CONROY MONTESINOS RENZO YEFFERSON"/>
    <s v="P730"/>
    <x v="4"/>
    <x v="36"/>
    <d v="2026-03-17T00:00:00"/>
    <s v="BUENOS DÍAS JONTAHAN, SE NECESITA QUE SE CREE UN CAMPO ADICIONAL A MI PROGRAMACIÓN QUE ESPECIFIQUE LOS KG DE HILO NETO QUE INGRESARÁN A TEÑIR. POR EJEMPLO:  SI SON 96 RODETES= 96 X 0.96 KG = 92.16 KG. (20/2) SI SON 116 MADEJAS = 96 X 0.94 KG = 90.24 KG. (08/4) SI SON 112 MADEJAS = 112 X 0.500 KG = 56 KG. (30/2X10) CONSIDERANDO ESTE CAMPO NUEVO SERÁ DE UTILIDAD PARA SU PANTALLA DE VALIDACIÓN DE RECETAS DE MALENA, PARA QUE AYUDE EN LA RELACIÓN DE BAÑO. TAMBIÉN SE TIENE QUE MEJORAR CUANDO SE JUNTAN LAS PARTIDAS SOLO INDICA LA R.B. DE ESA PARTIDA CUANDO ES INCORRECTA."/>
    <s v="EN ESPERA DEL LISTADO DE FACTORES POR TIPO DE ENCONADO"/>
    <m/>
    <m/>
  </r>
  <r>
    <n v="19948"/>
    <s v="SANTILLAN SALAZAR LLANET"/>
    <s v="220"/>
    <x v="3"/>
    <x v="31"/>
    <d v="2026-03-17T00:00:00"/>
    <s v="SRA MARIA SE SOLICITA AGREGAR EL ESTADO DE FLUJO DE EFECTIVO EN LA SIGUIENTE RUTA PARA IMPRESIONES-NUEVOS LIBRO Y REGISTROS/IMPRESION MATRICIAL."/>
    <m/>
    <m/>
    <m/>
  </r>
  <r>
    <n v="19855"/>
    <s v="PAMPA PAMPA ESTEFANY JOSELYN"/>
    <s v="230"/>
    <x v="7"/>
    <x v="32"/>
    <d v="2026-02-19T00:00:00"/>
    <s v="DESCARGAR EN FORMATO XLS EL REPORTE DE PLANILLA DE INGRESOS Y DESCUENTOS"/>
    <m/>
    <m/>
    <m/>
  </r>
  <r>
    <n v="19735"/>
    <s v="GUILLEN GUTIERREZ EDGAR GUTER"/>
    <s v="280"/>
    <x v="11"/>
    <x v="57"/>
    <d v="2026-01-21T00:00:00"/>
    <s v="CONTROL EN EL MANTENIMIENTO INTEGRAL Y PREVENTIVO DE EXTINTORES"/>
    <m/>
    <d v="2026-01-20T00:00:00"/>
    <m/>
  </r>
  <r>
    <n v="19927"/>
    <s v="HOLGUIN PANTA LUCILA KARINA"/>
    <s v="230"/>
    <x v="7"/>
    <x v="30"/>
    <d v="2026-03-12T00:00:00"/>
    <s v="SE DEBE CUANTIFICAR DE FORMA SEPARADA Y DIFERENCIADA LA GENERACIÓN DE SOBRETIEMPOS PARA LOS SIGUIENTES CASOS. VACACIONES PROGRAMADAS DESCANSOS MEDICOS FALTAS PERMISOS  LICENCIAS  TODO ESTES EVENTOS ESTAN INGRESADO EN LA DATA DEL PERSONAL"/>
    <m/>
    <m/>
    <m/>
  </r>
  <r>
    <n v="19969"/>
    <s v="TOSCANO CONDORI ARMANDO MANUEL"/>
    <s v="280"/>
    <x v="11"/>
    <x v="58"/>
    <d v="2026-03-23T00:00:00"/>
    <s v="SE REQUIERE COLOCAR EN EL SISTEMA EL FORMATO DE INSPECCION FS-25, PARA QUE EL AREA DE SSOMA, PUEDA LLENAR LOS HALLAZGOS Y LAS FOTOS. SE ENVIA EMAIL CON EL FORMATO"/>
    <m/>
    <m/>
    <m/>
  </r>
  <r>
    <n v="19679"/>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9) CERTIFICADO GOTS EVALUAR LA INTEGRACIÓN Y DISPONIBILIDAD DEL CERTIFICADO GOTS EN EL SISTEMA, PARA FACILITAR SU CONSULTA Y VALIDACIÓN DURANTE EL PROCESO COMERCIAL."/>
    <m/>
    <m/>
    <d v="2026-03-27T00:00:00"/>
  </r>
  <r>
    <n v="19677"/>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7) PEDIDOS MOULINEX REVISAR Y ANALIZAR LA INFORMACIÓN RELACIONADA CON EL INGRESO DE PEDIDOS MOULINEX."/>
    <m/>
    <m/>
    <m/>
  </r>
  <r>
    <n v="19675"/>
    <s v="ARMAS GARCIA CRIS YACKELYN"/>
    <s v="310"/>
    <x v="0"/>
    <x v="49"/>
    <d v="2025-12-22T00:00:00"/>
    <s v="DE ACUERDO CON LO CONVERSADO Y ACORDADO DURANTE LA REUNIÓN, ENVÍO EL LISTADO DE PENDIENTES Y OPORTUNIDADES DE MEJORA A IMPLEMENTAR PARA EL PRÓXIMO AÑO, CON EL OBJETIVO DE OPTIMIZAR EL FLUJO DE LOS PEDIDOS DENTRO DEL ÁREA COMERCIAL Y ASEGURAR UNA MEJOR TRAZABILIDAD EN EL SISTEMA. (PRIORIDAD 5) ESTANDARIZACIÓN DE CODIFICACIÓN UNIFICAR Y ESTANDARIZAR LA CODIFICACIÓN TANTO PARA EL INGRESO DE SOLICITUDES DE MUESTRAS COMO PARA EL REGISTRO DE PEDIDOS."/>
    <m/>
    <m/>
    <m/>
  </r>
  <r>
    <n v="19444"/>
    <s v="CONROY MONTESINOS RENZO YEFFERSON"/>
    <s v="P730"/>
    <x v="4"/>
    <x v="59"/>
    <d v="2025-09-15T00:00:00"/>
    <s v="BUENAS TARDES JONTHAN, SE NECESITA CREAR UN REPORTE SOLO DE ACABADOS EN MADEJAS PARA LAS MÁQUINAS LORIS, HANK MASTER, HANK MASTER (100M), CUBOTEX Y MEZZERA. REPORTE SIMILAR AL PROGRAMA DIARIO Y MAESTRO. POR EL MOMENTO EL INDICADOR PARA QUE APAREZCA EN ESE REPORTE SON LOS QUE ESTÁN PENDIENTES POR ACABAR EN MADEJA."/>
    <m/>
    <m/>
    <m/>
  </r>
  <r>
    <n v="19570"/>
    <s v="ARMAS GARCIA CRIS YACKELYN"/>
    <s v="310"/>
    <x v="0"/>
    <x v="60"/>
    <d v="2025-11-04T00:00:00"/>
    <s v="QUEREMOS SOLICITAR UNA RUTA EN EL SISTEMA, EL CUAL CADA ASESOR PUEDA VER SUS PEDIDOS QUE AUN NO ESTÁN DESPACHADOS RESPECTO A SUS CLIENTES, CON EL FIN DE PODER REALIZAR LAS COORDINACIONES CON EL ÁREA DE ALMACÉN.  ACTUALMENTE YO LO VEO CUANDO DESCARGO LA DATA DE COMPROMISO DE ENTREGA DETALLADO, EL CUAL SE GENERA UN EXCEL Y TENGO QUE IR A LA HOJA Y FILTRAR.  CON EL FIN DE DAR CELERIDAD, SERÍA RECOMENDABLE QUE HAYA UNA RUTA DIRECTA, QUE AL MOMENTO DE HACER LA BÚSQUEDA SE FILTRE POR ASESOR Y FECHA, Y SE GENERE AUTOMÁTICAMENTE LA DATA, TANTO EN EL SISTEMA COMO EXPORTARLO EN UN EXCEL."/>
    <m/>
    <m/>
    <m/>
  </r>
  <r>
    <n v="19068"/>
    <s v="FLORES ALLCCARIMA ALEYDA DIGNA"/>
    <s v="220"/>
    <x v="3"/>
    <x v="61"/>
    <d v="2025-04-15T00:00:00"/>
    <s v="BUEN DÍA, SE REQUIERE SU ATENCIÓN EN EL MODULO DE CTAS POR PAGAR, YA QUE LOS REGISTROS DE LA NO EMITIDAS REALIZADOS EN CONTABILIDAD NO SE ESTÁN REFLEJANDO EN CTAS POR PAGAR"/>
    <m/>
    <m/>
    <m/>
  </r>
  <r>
    <n v="19564"/>
    <s v="RIVERA GONZALES RIVELINO"/>
    <s v="P820"/>
    <x v="1"/>
    <x v="62"/>
    <d v="2025-10-31T00:00:00"/>
    <s v="BUENAS TARDES, POR FAVOR UNA LISTA EN EXCEL DE LAS ÚLTIMAS COMPRAS DE COLORANTE DISPERSOS (23)"/>
    <m/>
    <m/>
    <m/>
  </r>
  <r>
    <n v="19626"/>
    <s v="PAMPA PAMPA ESTEFANY JOSELYN"/>
    <s v="230"/>
    <x v="7"/>
    <x v="63"/>
    <d v="2025-11-25T00:00:00"/>
    <s v="HABILITAR LA OPCION DE GENERAR EL CONVENIO DE LABORAR DIAS FERIADOS PARA LA IMPRESION INDIVIDUAL Y/O MASIVA "/>
    <m/>
    <m/>
    <m/>
  </r>
  <r>
    <n v="18625"/>
    <s v="SALAZAR CORDOVA GABRIELA ZENAIDA"/>
    <s v="230"/>
    <x v="7"/>
    <x v="53"/>
    <d v="2024-10-18T00:00:00"/>
    <s v="5._x0009_UN REPORTE DONDE SALGA EL PROMEDIO DE PUNTUACIÓN ANUAL DE SUS EVALUACIONES DE DESEMPEÑO DEL PERSONAL CONTRATADO, ASÍ COMO TAMBIÉN UN PROMEDIO DE CALIFICACIÓN POR EL TOTAL. EJEMPLO:EN CORREO 17.10.24  "/>
    <m/>
    <m/>
    <m/>
  </r>
  <r>
    <n v="18791"/>
    <s v="ABREGU CUSTODIO OMAR CHRISTIAN"/>
    <s v="P740"/>
    <x v="12"/>
    <x v="64"/>
    <d v="2024-12-17T00:00:00"/>
    <s v="EXISTEN MANTENIMIENTOS QUE VAN ACOMPAÑADOS DE INFORMES. EN TAL SENTIDO, SE REQUIERE SE ADJUNTE ESTE DOCUMENTO."/>
    <m/>
    <m/>
    <m/>
  </r>
  <r>
    <n v="18973"/>
    <s v="TORRES PEREZ BRAYAN JOSSUE"/>
    <s v="P730"/>
    <x v="4"/>
    <x v="65"/>
    <d v="2025-03-13T00:00:00"/>
    <s v="BUEN DÍA JONATHAN, POR FAVOR CREARME UN REGISTRO DE PRODUCCIÓN DE PAROS DE MÁQUINAS TAL CUAL ESTÁ EN LOS DATOS ADJUNTOS DEL EXCEL, EN ESTE SE DETALLAN TODAS LAS FÓRMULAS PARA LA CREACIÓN DE ESTA MISMA. EN EL CORREO ESTA EK EXCEL CON TODAS LAS FORMULAS QUE SOLICITO."/>
    <s v="ANULADO POR FALTA DE DECISION"/>
    <m/>
    <d v="2026-03-27T00:00:00"/>
  </r>
  <r>
    <n v="18905"/>
    <s v="PAMPA PAMPA ESTEFANY JOSELYN"/>
    <s v="230"/>
    <x v="7"/>
    <x v="66"/>
    <d v="2025-02-03T00:00:00"/>
    <s v="IMPLEMENTAR UN CRONOGRAMA DE PAGO DE LIQUIDACIONES EN EL SISTEMA PARA ENVIO A GERENCIA"/>
    <m/>
    <m/>
    <m/>
  </r>
  <r>
    <n v="18811"/>
    <s v="SANTILLAN SALAZAR LLANET"/>
    <s v="220"/>
    <x v="3"/>
    <x v="67"/>
    <d v="2025-01-02T00:00:00"/>
    <s v="SRA. MARIA SE NECESITA EN EL MODULO DE PAGO PROVEEDORES LA MACRO GENERADORA DE TXT PARA FACTORING PROVEEDORES ENVIO ESTRUCTURA AL CORREO."/>
    <m/>
    <m/>
    <m/>
  </r>
  <r>
    <n v="18573"/>
    <s v="MARCACUZCO PEREZ MARIA ELENA"/>
    <s v="P550"/>
    <x v="5"/>
    <x v="68"/>
    <d v="2024-09-30T00:00:00"/>
    <s v="JONATHAN SE SOLICITA LO SIGUIENTE: *REALIZACION DE UNA PRE GUIA PARA QUE ESTHEFANY PUEDA REALIZAR LA RECETA A LA SUPERVISION FUERA DE SU HORARIO *PERMITIR REALIZAR LA MODIFICACION DE LOS PORCENTAJES DE LOS COLORANTES EN EL CALCULO DE RECETA"/>
    <m/>
    <m/>
    <d v="2026-03-27T00:00:00"/>
  </r>
  <r>
    <n v="18897"/>
    <s v="SANTILLAN SALAZAR LLANET"/>
    <s v="220"/>
    <x v="3"/>
    <x v="56"/>
    <d v="2025-02-03T00:00:00"/>
    <s v="SRA MARIA SE SOLICITA UN VALIDADOR DEL MODULO DE PLANILLAS PERSONAL VS LA CONTABILIDAD."/>
    <m/>
    <m/>
    <m/>
  </r>
  <r>
    <n v="18180"/>
    <s v="TUPAC NEVADO GISELA CARINA"/>
    <s v="220"/>
    <x v="3"/>
    <x v="69"/>
    <d v="2024-03-12T00:00:00"/>
    <s v="EL REGISTRO DE UNA IMPORTACION EN AUTOMATICO"/>
    <m/>
    <m/>
    <m/>
  </r>
  <r>
    <n v="18178"/>
    <s v="TUPAC NEVADO GISELA CARINA"/>
    <s v="220"/>
    <x v="3"/>
    <x v="69"/>
    <d v="2024-03-12T00:00:00"/>
    <s v="EL TIPO DE CAMBIO DEL SUNAT DEBE CONFIRMARSE CON EL INGRESADO MANUALMENTE, DEBE SALTAR SI EXISTIERA UNA DIFERENCIA AL DIA SIGUIENTE ."/>
    <m/>
    <m/>
    <m/>
  </r>
  <r>
    <n v="18176"/>
    <s v="TUPAC NEVADO GISELA CARINA"/>
    <s v="220"/>
    <x v="3"/>
    <x v="69"/>
    <d v="2024-03-12T00:00:00"/>
    <s v="TODOS LOS DOCUMENTOS DE COMPRAS SERVICIOS ETC CON COMPROBANTE ELECTRONICIO SEA REGISTRADO GUARDADO SUS ARCHIVOS A LA NUVE E INGRESADO SEGUN SU CUENTA O SERVICIO.  LOS VOUCHER DEBEN ESTAR CONECTADOS CON LA ORDEN DE COMPRA "/>
    <m/>
    <m/>
    <m/>
  </r>
  <r>
    <n v="18174"/>
    <s v="TUPAC NEVADO GISELA CARINA"/>
    <s v="220"/>
    <x v="3"/>
    <x v="69"/>
    <d v="2024-03-12T00:00:00"/>
    <s v="EL LIBRO DE COSTOS CONTABLE MENSUAL Y ANUAL"/>
    <m/>
    <m/>
    <m/>
  </r>
  <r>
    <n v="18173"/>
    <s v="TUPAC NEVADO GISELA CARINA"/>
    <s v="220"/>
    <x v="3"/>
    <x v="69"/>
    <d v="2024-03-12T00:00:00"/>
    <s v="INFORMACION DE GERENCIA DE LOS EEFF Y ANALISIS SE BAJEN DEL SISTEMA DE FORMA AUTOMATICA , ACTUALMENTE SE REALIZA EN EXCELL"/>
    <m/>
    <m/>
    <m/>
  </r>
  <r>
    <n v="18171"/>
    <s v="TUPAC NEVADO GISELA CARINA"/>
    <s v="220"/>
    <x v="3"/>
    <x v="69"/>
    <d v="2024-03-12T00:00:00"/>
    <s v="SE NECESITA QUE EL AREA DE COSTO GENERE EL COSTEO DE PRODUCTOS TERMINADOS"/>
    <m/>
    <m/>
    <m/>
  </r>
  <r>
    <n v="18170"/>
    <s v="TUPAC NEVADO GISELA CARINA"/>
    <s v="220"/>
    <x v="3"/>
    <x v="69"/>
    <d v="2024-03-12T00:00:00"/>
    <s v="SE SOLICITA QUE EL AREA CONTABLE PUEDA ACTUALIZAR LAS CUENTAS DESPUES DE UN CIERRE ASI COMO ERRORES EN EL TIPO DE CAMBIO"/>
    <m/>
    <m/>
    <m/>
  </r>
  <r>
    <n v="18169"/>
    <s v="TUPAC NEVADO GISELA CARINA"/>
    <s v="220"/>
    <x v="3"/>
    <x v="69"/>
    <d v="2024-03-12T00:00:00"/>
    <s v="LOS CUADROS DE EXCEL DE COSTOS DEBEN ESTAR EN EL SISTEMA PARA QUE CALCULE EN FORMA AUTOMATICA"/>
    <m/>
    <m/>
    <m/>
  </r>
  <r>
    <n v="18168"/>
    <s v="TUPAC NEVADO GISELA CARINA"/>
    <s v="220"/>
    <x v="3"/>
    <x v="69"/>
    <d v="2024-03-12T00:00:00"/>
    <s v="LOS ALMACENES QUE ESTAN EN EL SISTEMA , PARA UNA AUDITORIA LOS ALMACENES QUE SE MUESTRAN SON LOS DE INVENTARIO CONTABLE"/>
    <m/>
    <m/>
    <m/>
  </r>
  <r>
    <n v="18167"/>
    <s v="TUPAC NEVADO GISELA CARINA"/>
    <s v="220"/>
    <x v="3"/>
    <x v="69"/>
    <d v="2024-03-12T00:00:00"/>
    <s v="RETOMAR EL TEMA DEL ALMACEN DE SERVICIOS Y EJECUTAR EL INGRESO,"/>
    <m/>
    <m/>
    <m/>
  </r>
  <r>
    <n v="18166"/>
    <s v="TUPAC NEVADO GISELA CARINA"/>
    <s v="220"/>
    <x v="3"/>
    <x v="69"/>
    <d v="2024-03-12T00:00:00"/>
    <s v="LA VALIDACION DEL NUMERO DE ORDEN EN LOS INGRESOS DE INVENTARIO PARA QUE SE PUEDA VALORIZAR LOS ASIENTOS Y LOS INGRESOS EN AUTOMATICO"/>
    <m/>
    <m/>
    <m/>
  </r>
  <r>
    <n v="18165"/>
    <s v="TUPAC NEVADO GISELA CARINA"/>
    <s v="220"/>
    <x v="3"/>
    <x v="69"/>
    <d v="2024-03-12T00:00:00"/>
    <s v="LIBRO DE INVENTARIO Y BALANCES SOLO ENTREGA CUENTAS CUADRADAS LAS DE CTA CTE  Y TODAS LAS DEMAS SE TIENEN QUE CORREGIR MANUALMENTE SE REQUIERE QUE MUESTRE TODAS LAS CUENTAS CON SALDO Y DETALLE QUE SOLICITA EL LIBRO , SE REALIZA MANUALMENTE"/>
    <m/>
    <m/>
    <m/>
  </r>
  <r>
    <n v="18163"/>
    <s v="TUPAC NEVADO GISELA CARINA"/>
    <s v="220"/>
    <x v="3"/>
    <x v="69"/>
    <d v="2024-03-12T00:00:00"/>
    <s v="ACTUALIZACION DE LOS INTERESES DE CTS Y REALIZAR EL ASIENTO"/>
    <m/>
    <m/>
    <m/>
  </r>
  <r>
    <n v="18429"/>
    <s v="YAÑEZ ARANIBAR JOSHELYN KAROL"/>
    <s v="210"/>
    <x v="9"/>
    <x v="70"/>
    <d v="2024-07-12T00:00:00"/>
    <s v="BUENAS TARDES, QUISIERA QUE SE UN FORMULARIO DONDE COLOCANDO LA ORDEN ME SALGA LA REFERENCIA DE LA ORDEN Y SEGUN ITEM CANTIDAD QUE A SIDO ATENDIDA. VER SI LOS ITEMS HAN SIDO ATENDIDO EN SU TOTALIDAD O PARCIAL."/>
    <m/>
    <m/>
    <m/>
  </r>
  <r>
    <m/>
    <m/>
    <m/>
    <x v="13"/>
    <x v="71"/>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B72E6B-E4E2-42E6-9636-5722431B5932}" name="TablaDinámica2" cacheId="23" applyNumberFormats="0" applyBorderFormats="0" applyFontFormats="0" applyPatternFormats="0" applyAlignmentFormats="0" applyWidthHeightFormats="1" dataCaption="Datos" updatedVersion="8" minRefreshableVersion="3" showMemberPropertyTips="0" itemPrintTitles="1" createdVersion="8" indent="0" compact="0" compactData="0" gridDropZones="1">
  <location ref="A3:I19" firstHeaderRow="1" firstDataRow="3" firstDataCol="1"/>
  <pivotFields count="13">
    <pivotField dataField="1" compact="0" outline="0" showAll="0" includeNewItemsInFilter="1"/>
    <pivotField compact="0" outline="0" showAll="0" includeNewItemsInFilter="1"/>
    <pivotField compact="0" outline="0" showAll="0" includeNewItemsInFilter="1"/>
    <pivotField name="AREA" axis="axisRow" compact="0" outline="0" showAll="0" includeNewItemsInFilter="1">
      <items count="15">
        <item x="9"/>
        <item x="1"/>
        <item x="2"/>
        <item x="3"/>
        <item x="4"/>
        <item x="5"/>
        <item x="12"/>
        <item x="7"/>
        <item x="11"/>
        <item x="6"/>
        <item x="0"/>
        <item x="13"/>
        <item x="8"/>
        <item x="10"/>
        <item t="default"/>
      </items>
    </pivotField>
    <pivotField compact="0" outline="0" showAll="0" includeNewItemsInFilter="1">
      <items count="73">
        <item x="24"/>
        <item x="69"/>
        <item x="55"/>
        <item x="70"/>
        <item x="53"/>
        <item x="54"/>
        <item x="64"/>
        <item x="67"/>
        <item x="56"/>
        <item x="66"/>
        <item x="61"/>
        <item x="59"/>
        <item x="62"/>
        <item x="60"/>
        <item x="63"/>
        <item x="49"/>
        <item x="57"/>
        <item x="11"/>
        <item x="32"/>
        <item x="4"/>
        <item x="33"/>
        <item x="39"/>
        <item x="6"/>
        <item x="35"/>
        <item x="37"/>
        <item x="44"/>
        <item x="7"/>
        <item x="21"/>
        <item x="43"/>
        <item x="30"/>
        <item x="2"/>
        <item x="29"/>
        <item x="31"/>
        <item x="36"/>
        <item x="0"/>
        <item x="58"/>
        <item x="34"/>
        <item x="28"/>
        <item x="1"/>
        <item x="25"/>
        <item x="71"/>
        <item x="23"/>
        <item x="52"/>
        <item x="50"/>
        <item x="14"/>
        <item x="9"/>
        <item x="19"/>
        <item x="47"/>
        <item x="27"/>
        <item x="12"/>
        <item x="3"/>
        <item x="13"/>
        <item x="41"/>
        <item x="22"/>
        <item x="40"/>
        <item x="18"/>
        <item x="45"/>
        <item x="17"/>
        <item x="16"/>
        <item x="38"/>
        <item x="20"/>
        <item x="5"/>
        <item x="15"/>
        <item x="48"/>
        <item x="26"/>
        <item x="10"/>
        <item x="8"/>
        <item x="42"/>
        <item x="46"/>
        <item x="51"/>
        <item x="65"/>
        <item x="68"/>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pivotField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name="Años" axis="axisCol" compact="0" outline="0" showAll="0" includeNewItemsInFilter="1">
      <items count="6">
        <item h="1" sd="0" x="0"/>
        <item sd="0" x="1"/>
        <item sd="0" x="2"/>
        <item sd="0" x="3"/>
        <item h="1" sd="0" x="4"/>
        <item t="default"/>
      </items>
    </pivotField>
  </pivotFields>
  <rowFields count="1">
    <field x="3"/>
  </rowFields>
  <rowItems count="14">
    <i>
      <x/>
    </i>
    <i>
      <x v="1"/>
    </i>
    <i>
      <x v="2"/>
    </i>
    <i>
      <x v="3"/>
    </i>
    <i>
      <x v="4"/>
    </i>
    <i>
      <x v="5"/>
    </i>
    <i>
      <x v="6"/>
    </i>
    <i>
      <x v="7"/>
    </i>
    <i>
      <x v="8"/>
    </i>
    <i>
      <x v="9"/>
    </i>
    <i>
      <x v="10"/>
    </i>
    <i>
      <x v="12"/>
    </i>
    <i>
      <x v="13"/>
    </i>
    <i t="grand">
      <x/>
    </i>
  </rowItems>
  <colFields count="2">
    <field x="12"/>
    <field x="-2"/>
  </colFields>
  <colItems count="8">
    <i>
      <x v="1"/>
      <x/>
    </i>
    <i r="1" i="1">
      <x v="1"/>
    </i>
    <i>
      <x v="2"/>
      <x/>
    </i>
    <i r="1" i="1">
      <x v="1"/>
    </i>
    <i>
      <x v="3"/>
      <x/>
    </i>
    <i r="1" i="1">
      <x v="1"/>
    </i>
    <i t="grand">
      <x/>
    </i>
    <i t="grand" i="1">
      <x/>
    </i>
  </colItems>
  <dataFields count="2">
    <dataField name="PENDIENTE" fld="0" subtotal="count" baseField="3" baseItem="0"/>
    <dataField name="ENTREGADO" fld="9" subtotal="count" baseField="3" baseItem="0"/>
  </dataFields>
  <formats count="36">
    <format dxfId="70">
      <pivotArea outline="0" fieldPosition="0"/>
    </format>
    <format dxfId="69">
      <pivotArea dataOnly="0" labelOnly="1" outline="0" fieldPosition="0">
        <references count="1">
          <reference field="12" count="0"/>
        </references>
      </pivotArea>
    </format>
    <format dxfId="68">
      <pivotArea field="12" dataOnly="0" labelOnly="1" grandCol="1" outline="0" axis="axisCol" fieldPosition="0">
        <references count="1">
          <reference field="4294967294" count="1" selected="0">
            <x v="0"/>
          </reference>
        </references>
      </pivotArea>
    </format>
    <format dxfId="67">
      <pivotArea dataOnly="0" labelOnly="1" outline="0" fieldPosition="0">
        <references count="2">
          <reference field="4294967294" count="1">
            <x v="0"/>
          </reference>
          <reference field="12" count="1" selected="0">
            <x v="1"/>
          </reference>
        </references>
      </pivotArea>
    </format>
    <format dxfId="66">
      <pivotArea dataOnly="0" labelOnly="1" outline="0" fieldPosition="0">
        <references count="2">
          <reference field="4294967294" count="1">
            <x v="0"/>
          </reference>
          <reference field="12" count="1" selected="0">
            <x v="2"/>
          </reference>
        </references>
      </pivotArea>
    </format>
    <format dxfId="65">
      <pivotArea dataOnly="0" labelOnly="1" outline="0" fieldPosition="0">
        <references count="2">
          <reference field="4294967294" count="1">
            <x v="0"/>
          </reference>
          <reference field="12" count="1" selected="0">
            <x v="3"/>
          </reference>
        </references>
      </pivotArea>
    </format>
    <format dxfId="64">
      <pivotArea dataOnly="0" labelOnly="1" outline="0" fieldPosition="0">
        <references count="1">
          <reference field="12" count="0"/>
        </references>
      </pivotArea>
    </format>
    <format dxfId="63">
      <pivotArea field="12" dataOnly="0" labelOnly="1" grandCol="1" outline="0" axis="axisCol" fieldPosition="0">
        <references count="1">
          <reference field="4294967294" count="1" selected="0">
            <x v="0"/>
          </reference>
        </references>
      </pivotArea>
    </format>
    <format dxfId="62">
      <pivotArea dataOnly="0" labelOnly="1" outline="0" fieldPosition="0">
        <references count="2">
          <reference field="4294967294" count="1">
            <x v="0"/>
          </reference>
          <reference field="12" count="1" selected="0">
            <x v="1"/>
          </reference>
        </references>
      </pivotArea>
    </format>
    <format dxfId="61">
      <pivotArea dataOnly="0" labelOnly="1" outline="0" fieldPosition="0">
        <references count="2">
          <reference field="4294967294" count="1">
            <x v="0"/>
          </reference>
          <reference field="12" count="1" selected="0">
            <x v="2"/>
          </reference>
        </references>
      </pivotArea>
    </format>
    <format dxfId="60">
      <pivotArea dataOnly="0" labelOnly="1" outline="0" fieldPosition="0">
        <references count="2">
          <reference field="4294967294" count="1">
            <x v="0"/>
          </reference>
          <reference field="12" count="1" selected="0">
            <x v="3"/>
          </reference>
        </references>
      </pivotArea>
    </format>
    <format dxfId="59">
      <pivotArea field="3" grandCol="1" outline="0" axis="axisRow" fieldPosition="0">
        <references count="2">
          <reference field="4294967294" count="1" selected="0">
            <x v="0"/>
          </reference>
          <reference field="3" count="11" selected="0">
            <x v="0"/>
            <x v="1"/>
            <x v="2"/>
            <x v="3"/>
            <x v="4"/>
            <x v="5"/>
            <x v="6"/>
            <x v="7"/>
            <x v="8"/>
            <x v="9"/>
            <x v="10"/>
          </reference>
        </references>
      </pivotArea>
    </format>
    <format dxfId="58">
      <pivotArea grandRow="1" outline="0" fieldPosition="0"/>
    </format>
    <format dxfId="57">
      <pivotArea dataOnly="0" labelOnly="1" outline="0" fieldPosition="0">
        <references count="1">
          <reference field="12" count="1">
            <x v="2"/>
          </reference>
        </references>
      </pivotArea>
    </format>
    <format dxfId="56">
      <pivotArea dataOnly="0" labelOnly="1" outline="0" fieldPosition="0">
        <references count="1">
          <reference field="12" count="1">
            <x v="2"/>
          </reference>
        </references>
      </pivotArea>
    </format>
    <format dxfId="55">
      <pivotArea dataOnly="0" labelOnly="1" outline="0" fieldPosition="0">
        <references count="1">
          <reference field="12" count="1">
            <x v="2"/>
          </reference>
        </references>
      </pivotArea>
    </format>
    <format dxfId="54">
      <pivotArea dataOnly="0" labelOnly="1" outline="0" fieldPosition="0">
        <references count="1">
          <reference field="12" count="1">
            <x v="2"/>
          </reference>
        </references>
      </pivotArea>
    </format>
    <format dxfId="53">
      <pivotArea dataOnly="0" labelOnly="1" outline="0" fieldPosition="0">
        <references count="1">
          <reference field="12" count="1">
            <x v="1"/>
          </reference>
        </references>
      </pivotArea>
    </format>
    <format dxfId="52">
      <pivotArea dataOnly="0" labelOnly="1" outline="0" fieldPosition="0">
        <references count="1">
          <reference field="12" count="1">
            <x v="3"/>
          </reference>
        </references>
      </pivotArea>
    </format>
    <format dxfId="51">
      <pivotArea dataOnly="0" labelOnly="1" outline="0" fieldPosition="0">
        <references count="1">
          <reference field="12" count="1">
            <x v="1"/>
          </reference>
        </references>
      </pivotArea>
    </format>
    <format dxfId="50">
      <pivotArea dataOnly="0" labelOnly="1" outline="0" fieldPosition="0">
        <references count="1">
          <reference field="12" count="1">
            <x v="2"/>
          </reference>
        </references>
      </pivotArea>
    </format>
    <format dxfId="49">
      <pivotArea dataOnly="0" labelOnly="1" outline="0" fieldPosition="0">
        <references count="1">
          <reference field="12" count="1">
            <x v="3"/>
          </reference>
        </references>
      </pivotArea>
    </format>
    <format dxfId="48">
      <pivotArea dataOnly="0" labelOnly="1" outline="0" fieldPosition="0">
        <references count="1">
          <reference field="12" count="0"/>
        </references>
      </pivotArea>
    </format>
    <format dxfId="47">
      <pivotArea field="12" grandCol="1" outline="0" axis="axisCol" fieldPosition="0">
        <references count="1">
          <reference field="4294967294" count="2" selected="0">
            <x v="0"/>
            <x v="1"/>
          </reference>
        </references>
      </pivotArea>
    </format>
    <format dxfId="46">
      <pivotArea field="12" dataOnly="0" labelOnly="1" grandCol="1" outline="0" axis="axisCol" fieldPosition="0">
        <references count="1">
          <reference field="4294967294" count="1" selected="0">
            <x v="0"/>
          </reference>
        </references>
      </pivotArea>
    </format>
    <format dxfId="45">
      <pivotArea field="12" dataOnly="0" labelOnly="1" grandCol="1" outline="0" axis="axisCol" fieldPosition="0">
        <references count="1">
          <reference field="4294967294" count="1" selected="0">
            <x v="1"/>
          </reference>
        </references>
      </pivotArea>
    </format>
    <format dxfId="44">
      <pivotArea field="12" dataOnly="0" labelOnly="1" grandCol="1" outline="0" axis="axisCol" fieldPosition="0">
        <references count="1">
          <reference field="4294967294" count="1" selected="0">
            <x v="0"/>
          </reference>
        </references>
      </pivotArea>
    </format>
    <format dxfId="43">
      <pivotArea field="12" dataOnly="0" labelOnly="1" grandCol="1" outline="0" axis="axisCol" fieldPosition="0">
        <references count="1">
          <reference field="4294967294" count="1" selected="0">
            <x v="1"/>
          </reference>
        </references>
      </pivotArea>
    </format>
    <format dxfId="42">
      <pivotArea field="12" dataOnly="0" labelOnly="1" grandCol="1" outline="0" offset="IV1" axis="axisCol" fieldPosition="0">
        <references count="1">
          <reference field="4294967294" count="1" selected="0">
            <x v="0"/>
          </reference>
        </references>
      </pivotArea>
    </format>
    <format dxfId="41">
      <pivotArea field="12" dataOnly="0" labelOnly="1" grandCol="1" outline="0" offset="IV1" axis="axisCol" fieldPosition="0">
        <references count="1">
          <reference field="4294967294" count="1" selected="0">
            <x v="1"/>
          </reference>
        </references>
      </pivotArea>
    </format>
    <format dxfId="40">
      <pivotArea field="12" dataOnly="0" labelOnly="1" grandCol="1" outline="0" offset="IV1" axis="axisCol" fieldPosition="0">
        <references count="1">
          <reference field="4294967294" count="1" selected="0">
            <x v="0"/>
          </reference>
        </references>
      </pivotArea>
    </format>
    <format dxfId="39">
      <pivotArea field="12" dataOnly="0" labelOnly="1" grandCol="1" outline="0" offset="IV1" axis="axisCol" fieldPosition="0">
        <references count="1">
          <reference field="4294967294" count="1" selected="0">
            <x v="1"/>
          </reference>
        </references>
      </pivotArea>
    </format>
    <format dxfId="38">
      <pivotArea dataOnly="0" labelOnly="1" outline="0" fieldPosition="0">
        <references count="2">
          <reference field="4294967294" count="1">
            <x v="1"/>
          </reference>
          <reference field="12" count="1" selected="0">
            <x v="1"/>
          </reference>
        </references>
      </pivotArea>
    </format>
    <format dxfId="37">
      <pivotArea dataOnly="0" labelOnly="1" outline="0" fieldPosition="0">
        <references count="2">
          <reference field="4294967294" count="2">
            <x v="0"/>
            <x v="1"/>
          </reference>
          <reference field="12" count="1" selected="0">
            <x v="2"/>
          </reference>
        </references>
      </pivotArea>
    </format>
    <format dxfId="36">
      <pivotArea dataOnly="0" labelOnly="1" outline="0" fieldPosition="0">
        <references count="2">
          <reference field="4294967294" count="2">
            <x v="0"/>
            <x v="1"/>
          </reference>
          <reference field="12" count="1" selected="0">
            <x v="3"/>
          </reference>
        </references>
      </pivotArea>
    </format>
    <format dxfId="0">
      <pivotArea field="3" type="button" dataOnly="0" labelOnly="1" outline="0" axis="axisRow"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CA08E-1792-4916-9B09-BF1746F761A5}">
  <dimension ref="A1:I31"/>
  <sheetViews>
    <sheetView topLeftCell="A7" workbookViewId="0">
      <selection activeCell="F27" sqref="F27"/>
    </sheetView>
  </sheetViews>
  <sheetFormatPr baseColWidth="10" defaultRowHeight="12.75" x14ac:dyDescent="0.2"/>
  <cols>
    <col min="1" max="1" width="29.140625" bestFit="1" customWidth="1"/>
    <col min="2" max="2" width="11.42578125" customWidth="1"/>
    <col min="3" max="3" width="11" customWidth="1"/>
    <col min="4" max="4" width="10.85546875" customWidth="1"/>
    <col min="5" max="5" width="11.42578125" customWidth="1"/>
    <col min="6" max="6" width="10.7109375" customWidth="1"/>
    <col min="7" max="7" width="11.7109375" customWidth="1"/>
    <col min="8" max="8" width="15.28515625" customWidth="1"/>
    <col min="9" max="9" width="18" customWidth="1"/>
    <col min="10" max="42" width="10.5703125" bestFit="1" customWidth="1"/>
    <col min="43" max="43" width="11.7109375" bestFit="1" customWidth="1"/>
  </cols>
  <sheetData>
    <row r="1" spans="1:9" x14ac:dyDescent="0.2">
      <c r="A1" s="16" t="s">
        <v>167</v>
      </c>
      <c r="B1" s="16"/>
      <c r="C1" s="16"/>
      <c r="D1" s="16"/>
      <c r="E1" s="16"/>
      <c r="F1" s="16"/>
      <c r="G1" s="16"/>
      <c r="H1" s="16"/>
      <c r="I1" s="16"/>
    </row>
    <row r="2" spans="1:9" x14ac:dyDescent="0.2">
      <c r="A2" s="35"/>
      <c r="B2" s="16"/>
      <c r="C2" s="16"/>
      <c r="D2" s="16"/>
      <c r="E2" s="16"/>
      <c r="F2" s="16"/>
      <c r="G2" s="16"/>
      <c r="H2" s="16"/>
      <c r="I2" s="16"/>
    </row>
    <row r="3" spans="1:9" x14ac:dyDescent="0.2">
      <c r="A3" s="7"/>
      <c r="B3" s="11" t="s">
        <v>161</v>
      </c>
      <c r="C3" s="12" t="s">
        <v>162</v>
      </c>
      <c r="D3" s="8"/>
      <c r="E3" s="8"/>
      <c r="F3" s="8"/>
      <c r="G3" s="8"/>
      <c r="H3" s="8"/>
      <c r="I3" s="9"/>
    </row>
    <row r="4" spans="1:9" x14ac:dyDescent="0.2">
      <c r="A4" s="10"/>
      <c r="B4" s="20" t="s">
        <v>158</v>
      </c>
      <c r="C4" s="22"/>
      <c r="D4" s="21" t="s">
        <v>159</v>
      </c>
      <c r="E4" s="21"/>
      <c r="F4" s="20" t="s">
        <v>160</v>
      </c>
      <c r="G4" s="21"/>
      <c r="H4" s="40" t="s">
        <v>163</v>
      </c>
      <c r="I4" s="41" t="s">
        <v>165</v>
      </c>
    </row>
    <row r="5" spans="1:9" x14ac:dyDescent="0.2">
      <c r="A5" s="52" t="s">
        <v>317</v>
      </c>
      <c r="B5" s="17" t="s">
        <v>164</v>
      </c>
      <c r="C5" s="42" t="s">
        <v>166</v>
      </c>
      <c r="D5" s="17" t="s">
        <v>164</v>
      </c>
      <c r="E5" s="42" t="s">
        <v>166</v>
      </c>
      <c r="F5" s="17" t="s">
        <v>164</v>
      </c>
      <c r="G5" s="42" t="s">
        <v>166</v>
      </c>
      <c r="H5" s="19"/>
      <c r="I5" s="39"/>
    </row>
    <row r="6" spans="1:9" x14ac:dyDescent="0.2">
      <c r="A6" s="7" t="s">
        <v>111</v>
      </c>
      <c r="B6" s="15">
        <v>1</v>
      </c>
      <c r="C6" s="15"/>
      <c r="D6" s="15"/>
      <c r="E6" s="15"/>
      <c r="F6" s="15">
        <v>6</v>
      </c>
      <c r="G6" s="15">
        <v>5</v>
      </c>
      <c r="H6" s="18">
        <v>7</v>
      </c>
      <c r="I6" s="18">
        <v>5</v>
      </c>
    </row>
    <row r="7" spans="1:9" x14ac:dyDescent="0.2">
      <c r="A7" s="13" t="s">
        <v>68</v>
      </c>
      <c r="B7" s="15"/>
      <c r="C7" s="15"/>
      <c r="D7" s="15">
        <v>1</v>
      </c>
      <c r="E7" s="15"/>
      <c r="F7" s="15">
        <v>2</v>
      </c>
      <c r="G7" s="15">
        <v>2</v>
      </c>
      <c r="H7" s="18">
        <v>3</v>
      </c>
      <c r="I7" s="18">
        <v>2</v>
      </c>
    </row>
    <row r="8" spans="1:9" x14ac:dyDescent="0.2">
      <c r="A8" s="13" t="s">
        <v>31</v>
      </c>
      <c r="B8" s="15"/>
      <c r="C8" s="15"/>
      <c r="D8" s="15"/>
      <c r="E8" s="15"/>
      <c r="F8" s="15">
        <v>7</v>
      </c>
      <c r="G8" s="15">
        <v>7</v>
      </c>
      <c r="H8" s="18">
        <v>7</v>
      </c>
      <c r="I8" s="18">
        <v>7</v>
      </c>
    </row>
    <row r="9" spans="1:9" x14ac:dyDescent="0.2">
      <c r="A9" s="13" t="s">
        <v>12</v>
      </c>
      <c r="B9" s="15">
        <v>16</v>
      </c>
      <c r="C9" s="15"/>
      <c r="D9" s="15">
        <v>3</v>
      </c>
      <c r="E9" s="15">
        <v>1</v>
      </c>
      <c r="F9" s="15">
        <v>14</v>
      </c>
      <c r="G9" s="15">
        <v>12</v>
      </c>
      <c r="H9" s="18">
        <v>33</v>
      </c>
      <c r="I9" s="18">
        <v>13</v>
      </c>
    </row>
    <row r="10" spans="1:9" x14ac:dyDescent="0.2">
      <c r="A10" s="13" t="s">
        <v>93</v>
      </c>
      <c r="B10" s="15"/>
      <c r="C10" s="15"/>
      <c r="D10" s="15">
        <v>4</v>
      </c>
      <c r="E10" s="15">
        <v>3</v>
      </c>
      <c r="F10" s="15">
        <v>16</v>
      </c>
      <c r="G10" s="15">
        <v>14</v>
      </c>
      <c r="H10" s="18">
        <v>20</v>
      </c>
      <c r="I10" s="18">
        <v>17</v>
      </c>
    </row>
    <row r="11" spans="1:9" x14ac:dyDescent="0.2">
      <c r="A11" s="13" t="s">
        <v>82</v>
      </c>
      <c r="B11" s="15">
        <v>1</v>
      </c>
      <c r="C11" s="15">
        <v>1</v>
      </c>
      <c r="D11" s="15"/>
      <c r="E11" s="15"/>
      <c r="F11" s="15">
        <v>8</v>
      </c>
      <c r="G11" s="15">
        <v>8</v>
      </c>
      <c r="H11" s="18">
        <v>9</v>
      </c>
      <c r="I11" s="18">
        <v>9</v>
      </c>
    </row>
    <row r="12" spans="1:9" x14ac:dyDescent="0.2">
      <c r="A12" s="13" t="s">
        <v>107</v>
      </c>
      <c r="B12" s="15">
        <v>1</v>
      </c>
      <c r="C12" s="15"/>
      <c r="D12" s="15"/>
      <c r="E12" s="15"/>
      <c r="F12" s="15"/>
      <c r="G12" s="15"/>
      <c r="H12" s="18">
        <v>1</v>
      </c>
      <c r="I12" s="18"/>
    </row>
    <row r="13" spans="1:9" x14ac:dyDescent="0.2">
      <c r="A13" s="13" t="s">
        <v>38</v>
      </c>
      <c r="B13" s="15">
        <v>3</v>
      </c>
      <c r="C13" s="15">
        <v>1</v>
      </c>
      <c r="D13" s="15">
        <v>3</v>
      </c>
      <c r="E13" s="15">
        <v>1</v>
      </c>
      <c r="F13" s="15">
        <v>11</v>
      </c>
      <c r="G13" s="15">
        <v>8</v>
      </c>
      <c r="H13" s="18">
        <v>17</v>
      </c>
      <c r="I13" s="18">
        <v>10</v>
      </c>
    </row>
    <row r="14" spans="1:9" x14ac:dyDescent="0.2">
      <c r="A14" s="13" t="s">
        <v>46</v>
      </c>
      <c r="B14" s="15"/>
      <c r="C14" s="15"/>
      <c r="D14" s="15">
        <v>1</v>
      </c>
      <c r="E14" s="15">
        <v>1</v>
      </c>
      <c r="F14" s="15">
        <v>2</v>
      </c>
      <c r="G14" s="15"/>
      <c r="H14" s="18">
        <v>3</v>
      </c>
      <c r="I14" s="18">
        <v>1</v>
      </c>
    </row>
    <row r="15" spans="1:9" x14ac:dyDescent="0.2">
      <c r="A15" s="13" t="s">
        <v>59</v>
      </c>
      <c r="B15" s="15"/>
      <c r="C15" s="15"/>
      <c r="D15" s="15"/>
      <c r="E15" s="15"/>
      <c r="F15" s="15">
        <v>6</v>
      </c>
      <c r="G15" s="15">
        <v>5</v>
      </c>
      <c r="H15" s="18">
        <v>6</v>
      </c>
      <c r="I15" s="18">
        <v>5</v>
      </c>
    </row>
    <row r="16" spans="1:9" x14ac:dyDescent="0.2">
      <c r="A16" s="13" t="s">
        <v>125</v>
      </c>
      <c r="B16" s="15"/>
      <c r="C16" s="15"/>
      <c r="D16" s="15">
        <v>10</v>
      </c>
      <c r="E16" s="15">
        <v>7</v>
      </c>
      <c r="F16" s="15">
        <v>18</v>
      </c>
      <c r="G16" s="15">
        <v>17</v>
      </c>
      <c r="H16" s="18">
        <v>28</v>
      </c>
      <c r="I16" s="18">
        <v>24</v>
      </c>
    </row>
    <row r="17" spans="1:9" x14ac:dyDescent="0.2">
      <c r="A17" s="13" t="s">
        <v>199</v>
      </c>
      <c r="B17" s="15"/>
      <c r="C17" s="15"/>
      <c r="D17" s="15"/>
      <c r="E17" s="15"/>
      <c r="F17" s="15">
        <v>1</v>
      </c>
      <c r="G17" s="15">
        <v>1</v>
      </c>
      <c r="H17" s="18">
        <v>1</v>
      </c>
      <c r="I17" s="18">
        <v>1</v>
      </c>
    </row>
    <row r="18" spans="1:9" x14ac:dyDescent="0.2">
      <c r="A18" s="13" t="s">
        <v>217</v>
      </c>
      <c r="B18" s="15"/>
      <c r="C18" s="15"/>
      <c r="D18" s="15"/>
      <c r="E18" s="15"/>
      <c r="F18" s="15">
        <v>1</v>
      </c>
      <c r="G18" s="15">
        <v>1</v>
      </c>
      <c r="H18" s="18">
        <v>1</v>
      </c>
      <c r="I18" s="18">
        <v>1</v>
      </c>
    </row>
    <row r="19" spans="1:9" x14ac:dyDescent="0.2">
      <c r="A19" s="7" t="s">
        <v>157</v>
      </c>
      <c r="B19" s="24">
        <v>22</v>
      </c>
      <c r="C19" s="24">
        <v>2</v>
      </c>
      <c r="D19" s="24">
        <v>22</v>
      </c>
      <c r="E19" s="24">
        <v>13</v>
      </c>
      <c r="F19" s="24">
        <v>92</v>
      </c>
      <c r="G19" s="24">
        <v>80</v>
      </c>
      <c r="H19" s="24">
        <v>136</v>
      </c>
      <c r="I19" s="24">
        <v>95</v>
      </c>
    </row>
    <row r="20" spans="1:9" ht="15.75" x14ac:dyDescent="0.25">
      <c r="A20" s="38" t="s">
        <v>168</v>
      </c>
      <c r="B20" s="25">
        <f>B19-C19</f>
        <v>20</v>
      </c>
      <c r="C20" s="25"/>
      <c r="D20" s="25">
        <f>D19-E19</f>
        <v>9</v>
      </c>
      <c r="E20" s="25"/>
      <c r="F20" s="25">
        <f>F19-G19</f>
        <v>12</v>
      </c>
      <c r="G20" s="25"/>
      <c r="H20" s="25">
        <f>H19-I19</f>
        <v>41</v>
      </c>
      <c r="I20" s="25"/>
    </row>
    <row r="21" spans="1:9" x14ac:dyDescent="0.2">
      <c r="A21" s="36"/>
      <c r="B21" s="37"/>
      <c r="C21" s="37"/>
      <c r="D21" s="37"/>
      <c r="E21" s="36"/>
      <c r="F21" s="36"/>
    </row>
    <row r="22" spans="1:9" x14ac:dyDescent="0.2">
      <c r="A22" s="36"/>
      <c r="B22" s="36"/>
      <c r="C22" s="36"/>
      <c r="D22" s="36"/>
      <c r="E22" s="36"/>
      <c r="F22" s="36"/>
    </row>
    <row r="23" spans="1:9" x14ac:dyDescent="0.2">
      <c r="C23" s="26" t="s">
        <v>315</v>
      </c>
      <c r="D23" s="26"/>
    </row>
    <row r="24" spans="1:9" x14ac:dyDescent="0.2">
      <c r="A24" s="27" t="s">
        <v>169</v>
      </c>
      <c r="B24" s="27" t="s">
        <v>316</v>
      </c>
      <c r="C24" s="28" t="s">
        <v>169</v>
      </c>
      <c r="D24" s="28" t="s">
        <v>170</v>
      </c>
      <c r="E24" s="28" t="s">
        <v>164</v>
      </c>
      <c r="F24" s="28" t="s">
        <v>171</v>
      </c>
    </row>
    <row r="25" spans="1:9" x14ac:dyDescent="0.2">
      <c r="A25" s="29" t="s">
        <v>172</v>
      </c>
      <c r="B25" s="14">
        <v>24</v>
      </c>
      <c r="C25" s="14">
        <v>19</v>
      </c>
      <c r="D25" s="14">
        <v>4</v>
      </c>
      <c r="E25" s="14">
        <f>B25-C25-D25</f>
        <v>1</v>
      </c>
      <c r="F25" s="30">
        <f>C25/B25</f>
        <v>0.79</v>
      </c>
    </row>
    <row r="26" spans="1:9" x14ac:dyDescent="0.2">
      <c r="A26" s="29" t="s">
        <v>173</v>
      </c>
      <c r="B26" s="14">
        <v>36</v>
      </c>
      <c r="C26" s="14">
        <v>29</v>
      </c>
      <c r="D26" s="14">
        <v>5</v>
      </c>
      <c r="E26" s="14">
        <f>B26-C26-D26</f>
        <v>2</v>
      </c>
      <c r="F26" s="30">
        <f>C26/B26</f>
        <v>0.81</v>
      </c>
    </row>
    <row r="27" spans="1:9" x14ac:dyDescent="0.2">
      <c r="A27" s="29" t="s">
        <v>175</v>
      </c>
      <c r="B27" s="14">
        <v>32</v>
      </c>
      <c r="C27" s="14">
        <v>23</v>
      </c>
      <c r="D27" s="14"/>
      <c r="E27" s="14">
        <f>B27-C27</f>
        <v>9</v>
      </c>
      <c r="F27" s="30">
        <f>C27/B27</f>
        <v>0.72</v>
      </c>
    </row>
    <row r="28" spans="1:9" x14ac:dyDescent="0.2">
      <c r="A28" s="31" t="s">
        <v>174</v>
      </c>
      <c r="B28" s="31">
        <f>SUM(B25:B27)</f>
        <v>92</v>
      </c>
      <c r="C28" s="31">
        <f>SUM(C25:C27)</f>
        <v>71</v>
      </c>
      <c r="D28" s="31">
        <f>SUM(D25:D27)</f>
        <v>9</v>
      </c>
      <c r="E28" s="31">
        <f>SUM(E25:E27)</f>
        <v>12</v>
      </c>
    </row>
    <row r="29" spans="1:9" ht="15.75" x14ac:dyDescent="0.25">
      <c r="B29" s="23">
        <f>B28</f>
        <v>92</v>
      </c>
      <c r="C29" s="23"/>
      <c r="D29" s="23">
        <f>C28+D28</f>
        <v>80</v>
      </c>
      <c r="E29" s="23">
        <f>B29-D29</f>
        <v>12</v>
      </c>
    </row>
    <row r="31" spans="1:9" ht="25.5" x14ac:dyDescent="0.2">
      <c r="C31" s="32" t="s">
        <v>314</v>
      </c>
      <c r="D31" s="49">
        <f>D29/B29</f>
        <v>0.87</v>
      </c>
    </row>
  </sheetData>
  <mergeCells count="6">
    <mergeCell ref="B20:C20"/>
    <mergeCell ref="D20:E20"/>
    <mergeCell ref="F20:G20"/>
    <mergeCell ref="H20:I20"/>
    <mergeCell ref="C23:D23"/>
    <mergeCell ref="A1: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38762-AE5A-4773-9BAF-5891F01A940A}">
  <sheetPr>
    <outlinePr summaryRight="0"/>
  </sheetPr>
  <dimension ref="A1:K137"/>
  <sheetViews>
    <sheetView tabSelected="1" topLeftCell="A131" zoomScaleNormal="100" zoomScaleSheetLayoutView="100" workbookViewId="0">
      <selection activeCell="K131" sqref="K1:K65536"/>
    </sheetView>
  </sheetViews>
  <sheetFormatPr baseColWidth="10" defaultColWidth="9.140625" defaultRowHeight="12.75" x14ac:dyDescent="0.2"/>
  <cols>
    <col min="1" max="1" width="8.7109375" style="2" customWidth="1"/>
    <col min="2" max="2" width="11.28515625" style="6" customWidth="1"/>
    <col min="3" max="3" width="9.28515625" style="3" customWidth="1"/>
    <col min="4" max="4" width="27.42578125" style="3" customWidth="1"/>
    <col min="5" max="5" width="12" style="3" customWidth="1"/>
    <col min="6" max="6" width="11.7109375" style="3" customWidth="1"/>
    <col min="7" max="7" width="43" style="4" customWidth="1"/>
    <col min="8" max="8" width="41.140625" style="4" customWidth="1"/>
    <col min="9" max="10" width="13.140625" style="3" customWidth="1"/>
    <col min="11" max="11" width="0" style="51" hidden="1" customWidth="1"/>
  </cols>
  <sheetData>
    <row r="1" spans="1:11" x14ac:dyDescent="0.2">
      <c r="A1" s="46" t="s">
        <v>0</v>
      </c>
      <c r="B1" s="33" t="s">
        <v>1</v>
      </c>
      <c r="C1" s="1" t="s">
        <v>2</v>
      </c>
      <c r="D1" s="33" t="s">
        <v>3</v>
      </c>
      <c r="E1" s="33" t="s">
        <v>4</v>
      </c>
      <c r="F1" s="33" t="s">
        <v>5</v>
      </c>
      <c r="G1" s="34" t="s">
        <v>6</v>
      </c>
      <c r="H1" s="34" t="s">
        <v>7</v>
      </c>
      <c r="I1" s="33" t="s">
        <v>8</v>
      </c>
      <c r="J1" s="33" t="s">
        <v>9</v>
      </c>
      <c r="K1" s="5" t="s">
        <v>304</v>
      </c>
    </row>
    <row r="2" spans="1:11" ht="76.5" x14ac:dyDescent="0.2">
      <c r="A2" s="47">
        <v>18142</v>
      </c>
      <c r="B2" s="43" t="s">
        <v>48</v>
      </c>
      <c r="C2" s="48" t="s">
        <v>11</v>
      </c>
      <c r="D2" s="43" t="s">
        <v>12</v>
      </c>
      <c r="E2" s="44">
        <v>45356</v>
      </c>
      <c r="F2" s="44">
        <v>45358</v>
      </c>
      <c r="G2" s="45" t="s">
        <v>55</v>
      </c>
      <c r="H2" s="45" t="s">
        <v>56</v>
      </c>
      <c r="I2" s="43"/>
      <c r="J2" s="43"/>
      <c r="K2" s="50" t="s">
        <v>306</v>
      </c>
    </row>
    <row r="3" spans="1:11" ht="25.5" x14ac:dyDescent="0.2">
      <c r="A3" s="47">
        <v>18180</v>
      </c>
      <c r="B3" s="43" t="s">
        <v>10</v>
      </c>
      <c r="C3" s="48" t="s">
        <v>11</v>
      </c>
      <c r="D3" s="43" t="s">
        <v>12</v>
      </c>
      <c r="E3" s="44">
        <v>45363</v>
      </c>
      <c r="F3" s="44">
        <v>45363</v>
      </c>
      <c r="G3" s="45" t="s">
        <v>15</v>
      </c>
      <c r="H3" s="45"/>
      <c r="I3" s="43"/>
      <c r="J3" s="43"/>
      <c r="K3" s="50" t="s">
        <v>306</v>
      </c>
    </row>
    <row r="4" spans="1:11" ht="51" x14ac:dyDescent="0.2">
      <c r="A4" s="47">
        <v>18178</v>
      </c>
      <c r="B4" s="43" t="s">
        <v>10</v>
      </c>
      <c r="C4" s="48" t="s">
        <v>11</v>
      </c>
      <c r="D4" s="43" t="s">
        <v>12</v>
      </c>
      <c r="E4" s="44">
        <v>45363</v>
      </c>
      <c r="F4" s="44">
        <v>45363</v>
      </c>
      <c r="G4" s="45" t="s">
        <v>16</v>
      </c>
      <c r="H4" s="45"/>
      <c r="I4" s="43"/>
      <c r="J4" s="43"/>
      <c r="K4" s="50" t="s">
        <v>306</v>
      </c>
    </row>
    <row r="5" spans="1:11" ht="89.25" x14ac:dyDescent="0.2">
      <c r="A5" s="47">
        <v>18176</v>
      </c>
      <c r="B5" s="43" t="s">
        <v>10</v>
      </c>
      <c r="C5" s="48" t="s">
        <v>11</v>
      </c>
      <c r="D5" s="43" t="s">
        <v>12</v>
      </c>
      <c r="E5" s="44">
        <v>45363</v>
      </c>
      <c r="F5" s="44">
        <v>45363</v>
      </c>
      <c r="G5" s="45" t="s">
        <v>17</v>
      </c>
      <c r="H5" s="45"/>
      <c r="I5" s="43"/>
      <c r="J5" s="43"/>
      <c r="K5" s="50" t="s">
        <v>306</v>
      </c>
    </row>
    <row r="6" spans="1:11" ht="25.5" x14ac:dyDescent="0.2">
      <c r="A6" s="47">
        <v>18174</v>
      </c>
      <c r="B6" s="43" t="s">
        <v>10</v>
      </c>
      <c r="C6" s="48" t="s">
        <v>11</v>
      </c>
      <c r="D6" s="43" t="s">
        <v>12</v>
      </c>
      <c r="E6" s="44">
        <v>45363</v>
      </c>
      <c r="F6" s="44">
        <v>45363</v>
      </c>
      <c r="G6" s="45" t="s">
        <v>18</v>
      </c>
      <c r="H6" s="45"/>
      <c r="I6" s="43"/>
      <c r="J6" s="43"/>
      <c r="K6" s="50" t="s">
        <v>306</v>
      </c>
    </row>
    <row r="7" spans="1:11" ht="51" x14ac:dyDescent="0.2">
      <c r="A7" s="47">
        <v>18173</v>
      </c>
      <c r="B7" s="43" t="s">
        <v>10</v>
      </c>
      <c r="C7" s="48" t="s">
        <v>11</v>
      </c>
      <c r="D7" s="43" t="s">
        <v>12</v>
      </c>
      <c r="E7" s="44">
        <v>45363</v>
      </c>
      <c r="F7" s="44">
        <v>45363</v>
      </c>
      <c r="G7" s="45" t="s">
        <v>19</v>
      </c>
      <c r="H7" s="45"/>
      <c r="I7" s="43"/>
      <c r="J7" s="43"/>
      <c r="K7" s="50" t="s">
        <v>306</v>
      </c>
    </row>
    <row r="8" spans="1:11" ht="38.25" x14ac:dyDescent="0.2">
      <c r="A8" s="47">
        <v>18171</v>
      </c>
      <c r="B8" s="43" t="s">
        <v>10</v>
      </c>
      <c r="C8" s="48" t="s">
        <v>11</v>
      </c>
      <c r="D8" s="43" t="s">
        <v>12</v>
      </c>
      <c r="E8" s="44">
        <v>45363</v>
      </c>
      <c r="F8" s="44">
        <v>45363</v>
      </c>
      <c r="G8" s="45" t="s">
        <v>20</v>
      </c>
      <c r="H8" s="45"/>
      <c r="I8" s="43"/>
      <c r="J8" s="43"/>
      <c r="K8" s="50" t="s">
        <v>306</v>
      </c>
    </row>
    <row r="9" spans="1:11" ht="51" x14ac:dyDescent="0.2">
      <c r="A9" s="47">
        <v>18170</v>
      </c>
      <c r="B9" s="43" t="s">
        <v>10</v>
      </c>
      <c r="C9" s="48" t="s">
        <v>11</v>
      </c>
      <c r="D9" s="43" t="s">
        <v>12</v>
      </c>
      <c r="E9" s="44">
        <v>45363</v>
      </c>
      <c r="F9" s="44">
        <v>45363</v>
      </c>
      <c r="G9" s="45" t="s">
        <v>21</v>
      </c>
      <c r="H9" s="45"/>
      <c r="I9" s="43"/>
      <c r="J9" s="43"/>
      <c r="K9" s="50" t="s">
        <v>306</v>
      </c>
    </row>
    <row r="10" spans="1:11" ht="38.25" x14ac:dyDescent="0.2">
      <c r="A10" s="47">
        <v>18169</v>
      </c>
      <c r="B10" s="43" t="s">
        <v>10</v>
      </c>
      <c r="C10" s="48" t="s">
        <v>11</v>
      </c>
      <c r="D10" s="43" t="s">
        <v>12</v>
      </c>
      <c r="E10" s="44">
        <v>45363</v>
      </c>
      <c r="F10" s="44">
        <v>45363</v>
      </c>
      <c r="G10" s="45" t="s">
        <v>22</v>
      </c>
      <c r="H10" s="45"/>
      <c r="I10" s="43"/>
      <c r="J10" s="43"/>
      <c r="K10" s="50" t="s">
        <v>306</v>
      </c>
    </row>
    <row r="11" spans="1:11" ht="51" x14ac:dyDescent="0.2">
      <c r="A11" s="47">
        <v>18168</v>
      </c>
      <c r="B11" s="43" t="s">
        <v>10</v>
      </c>
      <c r="C11" s="48" t="s">
        <v>11</v>
      </c>
      <c r="D11" s="43" t="s">
        <v>12</v>
      </c>
      <c r="E11" s="44">
        <v>45363</v>
      </c>
      <c r="F11" s="44">
        <v>45363</v>
      </c>
      <c r="G11" s="45" t="s">
        <v>23</v>
      </c>
      <c r="H11" s="45"/>
      <c r="I11" s="43"/>
      <c r="J11" s="43"/>
      <c r="K11" s="50" t="s">
        <v>306</v>
      </c>
    </row>
    <row r="12" spans="1:11" ht="25.5" x14ac:dyDescent="0.2">
      <c r="A12" s="47">
        <v>18167</v>
      </c>
      <c r="B12" s="43" t="s">
        <v>10</v>
      </c>
      <c r="C12" s="48" t="s">
        <v>11</v>
      </c>
      <c r="D12" s="43" t="s">
        <v>12</v>
      </c>
      <c r="E12" s="44">
        <v>45363</v>
      </c>
      <c r="F12" s="44">
        <v>45363</v>
      </c>
      <c r="G12" s="45" t="s">
        <v>24</v>
      </c>
      <c r="H12" s="45"/>
      <c r="I12" s="43"/>
      <c r="J12" s="43"/>
      <c r="K12" s="50" t="s">
        <v>306</v>
      </c>
    </row>
    <row r="13" spans="1:11" ht="51" x14ac:dyDescent="0.2">
      <c r="A13" s="47">
        <v>18166</v>
      </c>
      <c r="B13" s="43" t="s">
        <v>10</v>
      </c>
      <c r="C13" s="48" t="s">
        <v>11</v>
      </c>
      <c r="D13" s="43" t="s">
        <v>12</v>
      </c>
      <c r="E13" s="44">
        <v>45363</v>
      </c>
      <c r="F13" s="44">
        <v>45363</v>
      </c>
      <c r="G13" s="45" t="s">
        <v>25</v>
      </c>
      <c r="H13" s="45"/>
      <c r="I13" s="43"/>
      <c r="J13" s="43"/>
      <c r="K13" s="50" t="s">
        <v>306</v>
      </c>
    </row>
    <row r="14" spans="1:11" ht="102" x14ac:dyDescent="0.2">
      <c r="A14" s="47">
        <v>18165</v>
      </c>
      <c r="B14" s="43" t="s">
        <v>10</v>
      </c>
      <c r="C14" s="48" t="s">
        <v>11</v>
      </c>
      <c r="D14" s="43" t="s">
        <v>12</v>
      </c>
      <c r="E14" s="44">
        <v>45363</v>
      </c>
      <c r="F14" s="44">
        <v>45363</v>
      </c>
      <c r="G14" s="45" t="s">
        <v>26</v>
      </c>
      <c r="H14" s="45"/>
      <c r="I14" s="43"/>
      <c r="J14" s="43"/>
      <c r="K14" s="50" t="s">
        <v>306</v>
      </c>
    </row>
    <row r="15" spans="1:11" ht="25.5" x14ac:dyDescent="0.2">
      <c r="A15" s="47">
        <v>18163</v>
      </c>
      <c r="B15" s="43" t="s">
        <v>10</v>
      </c>
      <c r="C15" s="48" t="s">
        <v>11</v>
      </c>
      <c r="D15" s="43" t="s">
        <v>12</v>
      </c>
      <c r="E15" s="44">
        <v>45363</v>
      </c>
      <c r="F15" s="44">
        <v>45363</v>
      </c>
      <c r="G15" s="45" t="s">
        <v>27</v>
      </c>
      <c r="H15" s="45"/>
      <c r="I15" s="43"/>
      <c r="J15" s="43"/>
      <c r="K15" s="50" t="s">
        <v>306</v>
      </c>
    </row>
    <row r="16" spans="1:11" ht="25.5" x14ac:dyDescent="0.2">
      <c r="A16" s="47">
        <v>18181</v>
      </c>
      <c r="B16" s="43" t="s">
        <v>10</v>
      </c>
      <c r="C16" s="48" t="s">
        <v>11</v>
      </c>
      <c r="D16" s="43" t="s">
        <v>12</v>
      </c>
      <c r="E16" s="44">
        <v>45364</v>
      </c>
      <c r="F16" s="44">
        <v>45365</v>
      </c>
      <c r="G16" s="45" t="s">
        <v>28</v>
      </c>
      <c r="H16" s="45"/>
      <c r="I16" s="43"/>
      <c r="J16" s="43"/>
      <c r="K16" s="50" t="s">
        <v>306</v>
      </c>
    </row>
    <row r="17" spans="1:11" ht="76.5" x14ac:dyDescent="0.2">
      <c r="A17" s="47">
        <v>18429</v>
      </c>
      <c r="B17" s="43" t="s">
        <v>109</v>
      </c>
      <c r="C17" s="48" t="s">
        <v>110</v>
      </c>
      <c r="D17" s="43" t="s">
        <v>111</v>
      </c>
      <c r="E17" s="44">
        <v>45483</v>
      </c>
      <c r="F17" s="44">
        <v>45485</v>
      </c>
      <c r="G17" s="45" t="s">
        <v>120</v>
      </c>
      <c r="H17" s="45"/>
      <c r="I17" s="43"/>
      <c r="J17" s="43"/>
      <c r="K17" s="50" t="s">
        <v>306</v>
      </c>
    </row>
    <row r="18" spans="1:11" ht="89.25" x14ac:dyDescent="0.2">
      <c r="A18" s="47">
        <v>18573</v>
      </c>
      <c r="B18" s="43" t="s">
        <v>80</v>
      </c>
      <c r="C18" s="48" t="s">
        <v>81</v>
      </c>
      <c r="D18" s="43" t="s">
        <v>82</v>
      </c>
      <c r="E18" s="44">
        <v>45560</v>
      </c>
      <c r="F18" s="44">
        <v>45565</v>
      </c>
      <c r="G18" s="45" t="s">
        <v>313</v>
      </c>
      <c r="H18" s="45"/>
      <c r="I18" s="43"/>
      <c r="J18" s="44">
        <v>46108</v>
      </c>
      <c r="K18" s="50" t="s">
        <v>309</v>
      </c>
    </row>
    <row r="19" spans="1:11" ht="89.25" x14ac:dyDescent="0.2">
      <c r="A19" s="47">
        <v>18623</v>
      </c>
      <c r="B19" s="43" t="s">
        <v>176</v>
      </c>
      <c r="C19" s="48" t="s">
        <v>37</v>
      </c>
      <c r="D19" s="43" t="s">
        <v>38</v>
      </c>
      <c r="E19" s="44">
        <v>45582</v>
      </c>
      <c r="F19" s="44">
        <v>45583</v>
      </c>
      <c r="G19" s="45" t="s">
        <v>177</v>
      </c>
      <c r="H19" s="45" t="s">
        <v>178</v>
      </c>
      <c r="I19" s="44">
        <v>46078.416666666701</v>
      </c>
      <c r="J19" s="44">
        <v>46078.542557870402</v>
      </c>
      <c r="K19" s="50" t="s">
        <v>305</v>
      </c>
    </row>
    <row r="20" spans="1:11" ht="89.25" x14ac:dyDescent="0.2">
      <c r="A20" s="47">
        <v>18625</v>
      </c>
      <c r="B20" s="43" t="s">
        <v>89</v>
      </c>
      <c r="C20" s="48" t="s">
        <v>37</v>
      </c>
      <c r="D20" s="43" t="s">
        <v>38</v>
      </c>
      <c r="E20" s="44">
        <v>45582</v>
      </c>
      <c r="F20" s="44">
        <v>45583</v>
      </c>
      <c r="G20" s="45" t="s">
        <v>90</v>
      </c>
      <c r="H20" s="45"/>
      <c r="I20" s="43"/>
      <c r="J20" s="43"/>
      <c r="K20" s="50" t="s">
        <v>306</v>
      </c>
    </row>
    <row r="21" spans="1:11" ht="153" x14ac:dyDescent="0.2">
      <c r="A21" s="47">
        <v>18632</v>
      </c>
      <c r="B21" s="43" t="s">
        <v>72</v>
      </c>
      <c r="C21" s="48" t="s">
        <v>37</v>
      </c>
      <c r="D21" s="43" t="s">
        <v>38</v>
      </c>
      <c r="E21" s="44">
        <v>45583</v>
      </c>
      <c r="F21" s="44">
        <v>45586</v>
      </c>
      <c r="G21" s="45" t="s">
        <v>79</v>
      </c>
      <c r="H21" s="45"/>
      <c r="I21" s="43"/>
      <c r="J21" s="43"/>
      <c r="K21" s="50" t="s">
        <v>306</v>
      </c>
    </row>
    <row r="22" spans="1:11" ht="51" x14ac:dyDescent="0.2">
      <c r="A22" s="47">
        <v>18791</v>
      </c>
      <c r="B22" s="43" t="s">
        <v>105</v>
      </c>
      <c r="C22" s="48" t="s">
        <v>106</v>
      </c>
      <c r="D22" s="43" t="s">
        <v>107</v>
      </c>
      <c r="E22" s="44">
        <v>45642</v>
      </c>
      <c r="F22" s="44">
        <v>45643</v>
      </c>
      <c r="G22" s="45" t="s">
        <v>108</v>
      </c>
      <c r="H22" s="45"/>
      <c r="I22" s="43"/>
      <c r="J22" s="43"/>
      <c r="K22" s="50" t="s">
        <v>306</v>
      </c>
    </row>
    <row r="23" spans="1:11" ht="63.75" x14ac:dyDescent="0.2">
      <c r="A23" s="47">
        <v>18811</v>
      </c>
      <c r="B23" s="43" t="s">
        <v>48</v>
      </c>
      <c r="C23" s="48" t="s">
        <v>11</v>
      </c>
      <c r="D23" s="43" t="s">
        <v>12</v>
      </c>
      <c r="E23" s="44">
        <v>45652</v>
      </c>
      <c r="F23" s="44">
        <v>45659</v>
      </c>
      <c r="G23" s="45" t="s">
        <v>53</v>
      </c>
      <c r="H23" s="45"/>
      <c r="I23" s="43"/>
      <c r="J23" s="43"/>
      <c r="K23" s="50" t="s">
        <v>306</v>
      </c>
    </row>
    <row r="24" spans="1:11" ht="114.75" x14ac:dyDescent="0.2">
      <c r="A24" s="47">
        <v>18851</v>
      </c>
      <c r="B24" s="43" t="s">
        <v>72</v>
      </c>
      <c r="C24" s="48" t="s">
        <v>37</v>
      </c>
      <c r="D24" s="43" t="s">
        <v>38</v>
      </c>
      <c r="E24" s="44">
        <v>45671</v>
      </c>
      <c r="F24" s="44">
        <v>45673</v>
      </c>
      <c r="G24" s="45" t="s">
        <v>179</v>
      </c>
      <c r="H24" s="45" t="s">
        <v>180</v>
      </c>
      <c r="I24" s="44">
        <v>46027.525694444397</v>
      </c>
      <c r="J24" s="44">
        <v>46032.526597222197</v>
      </c>
      <c r="K24" s="50" t="s">
        <v>305</v>
      </c>
    </row>
    <row r="25" spans="1:11" ht="102" x14ac:dyDescent="0.2">
      <c r="A25" s="47">
        <v>18896</v>
      </c>
      <c r="B25" s="43" t="s">
        <v>10</v>
      </c>
      <c r="C25" s="48" t="s">
        <v>11</v>
      </c>
      <c r="D25" s="43" t="s">
        <v>12</v>
      </c>
      <c r="E25" s="44">
        <v>45686</v>
      </c>
      <c r="F25" s="44">
        <v>45686</v>
      </c>
      <c r="G25" s="45" t="s">
        <v>13</v>
      </c>
      <c r="H25" s="45" t="s">
        <v>14</v>
      </c>
      <c r="I25" s="44">
        <v>46092.625</v>
      </c>
      <c r="J25" s="44">
        <v>46092.708333333299</v>
      </c>
      <c r="K25" s="50" t="s">
        <v>305</v>
      </c>
    </row>
    <row r="26" spans="1:11" ht="38.25" x14ac:dyDescent="0.2">
      <c r="A26" s="47">
        <v>18897</v>
      </c>
      <c r="B26" s="43" t="s">
        <v>48</v>
      </c>
      <c r="C26" s="48" t="s">
        <v>11</v>
      </c>
      <c r="D26" s="43" t="s">
        <v>12</v>
      </c>
      <c r="E26" s="44">
        <v>45686</v>
      </c>
      <c r="F26" s="44">
        <v>45691</v>
      </c>
      <c r="G26" s="45" t="s">
        <v>54</v>
      </c>
      <c r="H26" s="45"/>
      <c r="I26" s="43"/>
      <c r="J26" s="43"/>
      <c r="K26" s="50" t="s">
        <v>306</v>
      </c>
    </row>
    <row r="27" spans="1:11" ht="38.25" x14ac:dyDescent="0.2">
      <c r="A27" s="47">
        <v>18905</v>
      </c>
      <c r="B27" s="43" t="s">
        <v>72</v>
      </c>
      <c r="C27" s="48" t="s">
        <v>37</v>
      </c>
      <c r="D27" s="43" t="s">
        <v>38</v>
      </c>
      <c r="E27" s="44">
        <v>45687</v>
      </c>
      <c r="F27" s="44">
        <v>45691</v>
      </c>
      <c r="G27" s="45" t="s">
        <v>78</v>
      </c>
      <c r="H27" s="45"/>
      <c r="I27" s="43"/>
      <c r="J27" s="43"/>
      <c r="K27" s="50" t="s">
        <v>306</v>
      </c>
    </row>
    <row r="28" spans="1:11" ht="102" x14ac:dyDescent="0.2">
      <c r="A28" s="47">
        <v>18973</v>
      </c>
      <c r="B28" s="43" t="s">
        <v>143</v>
      </c>
      <c r="C28" s="48" t="s">
        <v>92</v>
      </c>
      <c r="D28" s="43" t="s">
        <v>93</v>
      </c>
      <c r="E28" s="44">
        <v>45727</v>
      </c>
      <c r="F28" s="44">
        <v>45729</v>
      </c>
      <c r="G28" s="45" t="s">
        <v>311</v>
      </c>
      <c r="H28" s="45" t="s">
        <v>312</v>
      </c>
      <c r="I28" s="43"/>
      <c r="J28" s="44">
        <v>46108</v>
      </c>
      <c r="K28" s="50" t="s">
        <v>309</v>
      </c>
    </row>
    <row r="29" spans="1:11" ht="63.75" x14ac:dyDescent="0.2">
      <c r="A29" s="47">
        <v>19068</v>
      </c>
      <c r="B29" s="43" t="s">
        <v>121</v>
      </c>
      <c r="C29" s="48" t="s">
        <v>11</v>
      </c>
      <c r="D29" s="43" t="s">
        <v>12</v>
      </c>
      <c r="E29" s="44">
        <v>45761</v>
      </c>
      <c r="F29" s="44">
        <v>45762</v>
      </c>
      <c r="G29" s="45" t="s">
        <v>122</v>
      </c>
      <c r="H29" s="45"/>
      <c r="I29" s="43"/>
      <c r="J29" s="43"/>
      <c r="K29" s="50" t="s">
        <v>306</v>
      </c>
    </row>
    <row r="30" spans="1:11" ht="357" x14ac:dyDescent="0.2">
      <c r="A30" s="47">
        <v>19312</v>
      </c>
      <c r="B30" s="43" t="s">
        <v>143</v>
      </c>
      <c r="C30" s="48" t="s">
        <v>92</v>
      </c>
      <c r="D30" s="43" t="s">
        <v>93</v>
      </c>
      <c r="E30" s="44">
        <v>45853</v>
      </c>
      <c r="F30" s="44">
        <v>45856</v>
      </c>
      <c r="G30" s="45" t="s">
        <v>307</v>
      </c>
      <c r="H30" s="45" t="s">
        <v>308</v>
      </c>
      <c r="I30" s="44">
        <v>45853.626759259299</v>
      </c>
      <c r="J30" s="44">
        <v>46108</v>
      </c>
      <c r="K30" s="50" t="s">
        <v>309</v>
      </c>
    </row>
    <row r="31" spans="1:11" ht="127.5" x14ac:dyDescent="0.2">
      <c r="A31" s="47">
        <v>19444</v>
      </c>
      <c r="B31" s="43" t="s">
        <v>91</v>
      </c>
      <c r="C31" s="48" t="s">
        <v>92</v>
      </c>
      <c r="D31" s="43" t="s">
        <v>93</v>
      </c>
      <c r="E31" s="44">
        <v>45913</v>
      </c>
      <c r="F31" s="44">
        <v>45915</v>
      </c>
      <c r="G31" s="45" t="s">
        <v>104</v>
      </c>
      <c r="H31" s="45"/>
      <c r="I31" s="43"/>
      <c r="J31" s="43"/>
      <c r="K31" s="50" t="s">
        <v>306</v>
      </c>
    </row>
    <row r="32" spans="1:11" ht="114.75" x14ac:dyDescent="0.2">
      <c r="A32" s="47">
        <v>19468</v>
      </c>
      <c r="B32" s="43" t="s">
        <v>44</v>
      </c>
      <c r="C32" s="48" t="s">
        <v>45</v>
      </c>
      <c r="D32" s="43" t="s">
        <v>46</v>
      </c>
      <c r="E32" s="44">
        <v>45918</v>
      </c>
      <c r="F32" s="44">
        <v>45919</v>
      </c>
      <c r="G32" s="45" t="s">
        <v>181</v>
      </c>
      <c r="H32" s="45" t="s">
        <v>182</v>
      </c>
      <c r="I32" s="44">
        <v>46043.443055555603</v>
      </c>
      <c r="J32" s="44">
        <v>46044.527650463002</v>
      </c>
      <c r="K32" s="50" t="s">
        <v>305</v>
      </c>
    </row>
    <row r="33" spans="1:11" ht="331.5" x14ac:dyDescent="0.2">
      <c r="A33" s="47">
        <v>19482</v>
      </c>
      <c r="B33" s="43" t="s">
        <v>143</v>
      </c>
      <c r="C33" s="48" t="s">
        <v>92</v>
      </c>
      <c r="D33" s="43" t="s">
        <v>93</v>
      </c>
      <c r="E33" s="44">
        <v>45924</v>
      </c>
      <c r="F33" s="44">
        <v>45924</v>
      </c>
      <c r="G33" s="45" t="s">
        <v>183</v>
      </c>
      <c r="H33" s="45" t="s">
        <v>184</v>
      </c>
      <c r="I33" s="44">
        <v>46043.425694444399</v>
      </c>
      <c r="J33" s="44">
        <v>46045.7881597222</v>
      </c>
      <c r="K33" s="50" t="s">
        <v>305</v>
      </c>
    </row>
    <row r="34" spans="1:11" ht="38.25" x14ac:dyDescent="0.2">
      <c r="A34" s="47">
        <v>19564</v>
      </c>
      <c r="B34" s="43" t="s">
        <v>66</v>
      </c>
      <c r="C34" s="48" t="s">
        <v>67</v>
      </c>
      <c r="D34" s="43" t="s">
        <v>68</v>
      </c>
      <c r="E34" s="44">
        <v>45960</v>
      </c>
      <c r="F34" s="44">
        <v>45961</v>
      </c>
      <c r="G34" s="45" t="s">
        <v>69</v>
      </c>
      <c r="H34" s="45"/>
      <c r="I34" s="43"/>
      <c r="J34" s="43"/>
      <c r="K34" s="50" t="s">
        <v>306</v>
      </c>
    </row>
    <row r="35" spans="1:11" ht="229.5" x14ac:dyDescent="0.2">
      <c r="A35" s="47">
        <v>19570</v>
      </c>
      <c r="B35" s="43" t="s">
        <v>139</v>
      </c>
      <c r="C35" s="48" t="s">
        <v>124</v>
      </c>
      <c r="D35" s="43" t="s">
        <v>125</v>
      </c>
      <c r="E35" s="44">
        <v>45961</v>
      </c>
      <c r="F35" s="44">
        <v>45965</v>
      </c>
      <c r="G35" s="45" t="s">
        <v>142</v>
      </c>
      <c r="H35" s="45"/>
      <c r="I35" s="43"/>
      <c r="J35" s="43"/>
      <c r="K35" s="50" t="s">
        <v>306</v>
      </c>
    </row>
    <row r="36" spans="1:11" ht="38.25" x14ac:dyDescent="0.2">
      <c r="A36" s="47">
        <v>19626</v>
      </c>
      <c r="B36" s="43" t="s">
        <v>72</v>
      </c>
      <c r="C36" s="48" t="s">
        <v>37</v>
      </c>
      <c r="D36" s="43" t="s">
        <v>38</v>
      </c>
      <c r="E36" s="44">
        <v>45983</v>
      </c>
      <c r="F36" s="44">
        <v>45986</v>
      </c>
      <c r="G36" s="45" t="s">
        <v>77</v>
      </c>
      <c r="H36" s="45"/>
      <c r="I36" s="43"/>
      <c r="J36" s="43"/>
      <c r="K36" s="50" t="s">
        <v>306</v>
      </c>
    </row>
    <row r="37" spans="1:11" ht="165.75" x14ac:dyDescent="0.2">
      <c r="A37" s="47">
        <v>19678</v>
      </c>
      <c r="B37" s="43" t="s">
        <v>139</v>
      </c>
      <c r="C37" s="48" t="s">
        <v>124</v>
      </c>
      <c r="D37" s="43" t="s">
        <v>125</v>
      </c>
      <c r="E37" s="44">
        <v>46009</v>
      </c>
      <c r="F37" s="44">
        <v>46013</v>
      </c>
      <c r="G37" s="45" t="s">
        <v>185</v>
      </c>
      <c r="H37" s="45" t="s">
        <v>186</v>
      </c>
      <c r="I37" s="44">
        <v>46058.650092592601</v>
      </c>
      <c r="J37" s="44">
        <v>46059.674918981502</v>
      </c>
      <c r="K37" s="50" t="s">
        <v>305</v>
      </c>
    </row>
    <row r="38" spans="1:11" ht="178.5" x14ac:dyDescent="0.2">
      <c r="A38" s="47">
        <v>19676</v>
      </c>
      <c r="B38" s="43" t="s">
        <v>139</v>
      </c>
      <c r="C38" s="48" t="s">
        <v>124</v>
      </c>
      <c r="D38" s="43" t="s">
        <v>125</v>
      </c>
      <c r="E38" s="44">
        <v>46009</v>
      </c>
      <c r="F38" s="44">
        <v>46013</v>
      </c>
      <c r="G38" s="45" t="s">
        <v>187</v>
      </c>
      <c r="H38" s="45" t="s">
        <v>188</v>
      </c>
      <c r="I38" s="44">
        <v>46058.3806944444</v>
      </c>
      <c r="J38" s="44">
        <v>46058.455173611103</v>
      </c>
      <c r="K38" s="50" t="s">
        <v>305</v>
      </c>
    </row>
    <row r="39" spans="1:11" ht="165.75" x14ac:dyDescent="0.2">
      <c r="A39" s="47">
        <v>19674</v>
      </c>
      <c r="B39" s="43" t="s">
        <v>139</v>
      </c>
      <c r="C39" s="48" t="s">
        <v>124</v>
      </c>
      <c r="D39" s="43" t="s">
        <v>125</v>
      </c>
      <c r="E39" s="44">
        <v>46009</v>
      </c>
      <c r="F39" s="44">
        <v>46013</v>
      </c>
      <c r="G39" s="45" t="s">
        <v>189</v>
      </c>
      <c r="H39" s="45" t="s">
        <v>190</v>
      </c>
      <c r="I39" s="44">
        <v>46050.432534722197</v>
      </c>
      <c r="J39" s="44">
        <v>46051.661574074104</v>
      </c>
      <c r="K39" s="50" t="s">
        <v>305</v>
      </c>
    </row>
    <row r="40" spans="1:11" ht="178.5" x14ac:dyDescent="0.2">
      <c r="A40" s="47">
        <v>19673</v>
      </c>
      <c r="B40" s="43" t="s">
        <v>139</v>
      </c>
      <c r="C40" s="48" t="s">
        <v>124</v>
      </c>
      <c r="D40" s="43" t="s">
        <v>125</v>
      </c>
      <c r="E40" s="44">
        <v>46009</v>
      </c>
      <c r="F40" s="44">
        <v>46013</v>
      </c>
      <c r="G40" s="45" t="s">
        <v>191</v>
      </c>
      <c r="H40" s="45" t="s">
        <v>192</v>
      </c>
      <c r="I40" s="44">
        <v>46036.393958333298</v>
      </c>
      <c r="J40" s="44">
        <v>46036.437673611101</v>
      </c>
      <c r="K40" s="50" t="s">
        <v>305</v>
      </c>
    </row>
    <row r="41" spans="1:11" ht="140.25" x14ac:dyDescent="0.2">
      <c r="A41" s="47">
        <v>19672</v>
      </c>
      <c r="B41" s="43" t="s">
        <v>139</v>
      </c>
      <c r="C41" s="48" t="s">
        <v>124</v>
      </c>
      <c r="D41" s="43" t="s">
        <v>125</v>
      </c>
      <c r="E41" s="44">
        <v>46009</v>
      </c>
      <c r="F41" s="44">
        <v>46013</v>
      </c>
      <c r="G41" s="45" t="s">
        <v>193</v>
      </c>
      <c r="H41" s="45" t="s">
        <v>194</v>
      </c>
      <c r="I41" s="44">
        <v>46035.640381944402</v>
      </c>
      <c r="J41" s="44">
        <v>46035.723842592597</v>
      </c>
      <c r="K41" s="50" t="s">
        <v>305</v>
      </c>
    </row>
    <row r="42" spans="1:11" ht="178.5" x14ac:dyDescent="0.2">
      <c r="A42" s="47">
        <v>19671</v>
      </c>
      <c r="B42" s="43" t="s">
        <v>139</v>
      </c>
      <c r="C42" s="48" t="s">
        <v>124</v>
      </c>
      <c r="D42" s="43" t="s">
        <v>125</v>
      </c>
      <c r="E42" s="44">
        <v>46009</v>
      </c>
      <c r="F42" s="44">
        <v>46013</v>
      </c>
      <c r="G42" s="45" t="s">
        <v>195</v>
      </c>
      <c r="H42" s="45" t="s">
        <v>196</v>
      </c>
      <c r="I42" s="44">
        <v>46028.367060185199</v>
      </c>
      <c r="J42" s="44">
        <v>46030.650150463</v>
      </c>
      <c r="K42" s="50" t="s">
        <v>305</v>
      </c>
    </row>
    <row r="43" spans="1:11" ht="178.5" x14ac:dyDescent="0.2">
      <c r="A43" s="47">
        <v>19679</v>
      </c>
      <c r="B43" s="43" t="s">
        <v>139</v>
      </c>
      <c r="C43" s="48" t="s">
        <v>124</v>
      </c>
      <c r="D43" s="43" t="s">
        <v>125</v>
      </c>
      <c r="E43" s="44">
        <v>46009</v>
      </c>
      <c r="F43" s="44">
        <v>46013</v>
      </c>
      <c r="G43" s="45" t="s">
        <v>310</v>
      </c>
      <c r="H43" s="45"/>
      <c r="I43" s="43"/>
      <c r="J43" s="44">
        <v>46108</v>
      </c>
      <c r="K43" s="50" t="s">
        <v>309</v>
      </c>
    </row>
    <row r="44" spans="1:11" ht="153" x14ac:dyDescent="0.2">
      <c r="A44" s="47">
        <v>19677</v>
      </c>
      <c r="B44" s="43" t="s">
        <v>139</v>
      </c>
      <c r="C44" s="48" t="s">
        <v>124</v>
      </c>
      <c r="D44" s="43" t="s">
        <v>125</v>
      </c>
      <c r="E44" s="44">
        <v>46009</v>
      </c>
      <c r="F44" s="44">
        <v>46013</v>
      </c>
      <c r="G44" s="45" t="s">
        <v>140</v>
      </c>
      <c r="H44" s="45"/>
      <c r="I44" s="43"/>
      <c r="J44" s="43"/>
      <c r="K44" s="50" t="s">
        <v>306</v>
      </c>
    </row>
    <row r="45" spans="1:11" ht="178.5" x14ac:dyDescent="0.2">
      <c r="A45" s="47">
        <v>19675</v>
      </c>
      <c r="B45" s="43" t="s">
        <v>139</v>
      </c>
      <c r="C45" s="48" t="s">
        <v>124</v>
      </c>
      <c r="D45" s="43" t="s">
        <v>125</v>
      </c>
      <c r="E45" s="44">
        <v>46009</v>
      </c>
      <c r="F45" s="44">
        <v>46013</v>
      </c>
      <c r="G45" s="45" t="s">
        <v>141</v>
      </c>
      <c r="H45" s="45"/>
      <c r="I45" s="43"/>
      <c r="J45" s="43"/>
      <c r="K45" s="50" t="s">
        <v>306</v>
      </c>
    </row>
    <row r="46" spans="1:11" ht="127.5" x14ac:dyDescent="0.2">
      <c r="A46" s="47">
        <v>19741</v>
      </c>
      <c r="B46" s="43" t="s">
        <v>197</v>
      </c>
      <c r="C46" s="48" t="s">
        <v>198</v>
      </c>
      <c r="D46" s="43" t="s">
        <v>199</v>
      </c>
      <c r="E46" s="44">
        <v>46027</v>
      </c>
      <c r="F46" s="44">
        <v>46042</v>
      </c>
      <c r="G46" s="45" t="s">
        <v>200</v>
      </c>
      <c r="H46" s="45" t="s">
        <v>201</v>
      </c>
      <c r="I46" s="44">
        <v>46029.789583333302</v>
      </c>
      <c r="J46" s="44">
        <v>46032.458333333299</v>
      </c>
      <c r="K46" s="50" t="s">
        <v>305</v>
      </c>
    </row>
    <row r="47" spans="1:11" ht="76.5" x14ac:dyDescent="0.2">
      <c r="A47" s="47">
        <v>19693</v>
      </c>
      <c r="B47" s="43" t="s">
        <v>48</v>
      </c>
      <c r="C47" s="48" t="s">
        <v>11</v>
      </c>
      <c r="D47" s="43" t="s">
        <v>12</v>
      </c>
      <c r="E47" s="44">
        <v>46027</v>
      </c>
      <c r="F47" s="44">
        <v>46028</v>
      </c>
      <c r="G47" s="45" t="s">
        <v>202</v>
      </c>
      <c r="H47" s="45" t="s">
        <v>203</v>
      </c>
      <c r="I47" s="44">
        <v>46032.510416666701</v>
      </c>
      <c r="J47" s="44">
        <v>46034.4946180556</v>
      </c>
      <c r="K47" s="50" t="s">
        <v>305</v>
      </c>
    </row>
    <row r="48" spans="1:11" ht="63.75" x14ac:dyDescent="0.2">
      <c r="A48" s="47">
        <v>19692</v>
      </c>
      <c r="B48" s="43" t="s">
        <v>48</v>
      </c>
      <c r="C48" s="48" t="s">
        <v>11</v>
      </c>
      <c r="D48" s="43" t="s">
        <v>12</v>
      </c>
      <c r="E48" s="44">
        <v>46027</v>
      </c>
      <c r="F48" s="44">
        <v>46028</v>
      </c>
      <c r="G48" s="45" t="s">
        <v>204</v>
      </c>
      <c r="H48" s="45" t="s">
        <v>205</v>
      </c>
      <c r="I48" s="44">
        <v>46056.385416666701</v>
      </c>
      <c r="J48" s="44">
        <v>46058.8197685185</v>
      </c>
      <c r="K48" s="50" t="s">
        <v>305</v>
      </c>
    </row>
    <row r="49" spans="1:11" ht="51" x14ac:dyDescent="0.2">
      <c r="A49" s="47">
        <v>19695</v>
      </c>
      <c r="B49" s="43" t="s">
        <v>48</v>
      </c>
      <c r="C49" s="48" t="s">
        <v>11</v>
      </c>
      <c r="D49" s="43" t="s">
        <v>12</v>
      </c>
      <c r="E49" s="44">
        <v>46028</v>
      </c>
      <c r="F49" s="44">
        <v>46028</v>
      </c>
      <c r="G49" s="45" t="s">
        <v>206</v>
      </c>
      <c r="H49" s="45" t="s">
        <v>207</v>
      </c>
      <c r="I49" s="44">
        <v>46055.395833333299</v>
      </c>
      <c r="J49" s="44">
        <v>46055.743472222202</v>
      </c>
      <c r="K49" s="50" t="s">
        <v>305</v>
      </c>
    </row>
    <row r="50" spans="1:11" ht="89.25" x14ac:dyDescent="0.2">
      <c r="A50" s="47">
        <v>19699</v>
      </c>
      <c r="B50" s="43" t="s">
        <v>123</v>
      </c>
      <c r="C50" s="48" t="s">
        <v>124</v>
      </c>
      <c r="D50" s="43" t="s">
        <v>125</v>
      </c>
      <c r="E50" s="44">
        <v>46028</v>
      </c>
      <c r="F50" s="44">
        <v>46029</v>
      </c>
      <c r="G50" s="45" t="s">
        <v>208</v>
      </c>
      <c r="H50" s="45" t="s">
        <v>209</v>
      </c>
      <c r="I50" s="44">
        <v>46029.400358796302</v>
      </c>
      <c r="J50" s="44">
        <v>46029.436805555597</v>
      </c>
      <c r="K50" s="50" t="s">
        <v>305</v>
      </c>
    </row>
    <row r="51" spans="1:11" ht="280.5" x14ac:dyDescent="0.2">
      <c r="A51" s="47">
        <v>19700</v>
      </c>
      <c r="B51" s="43" t="s">
        <v>123</v>
      </c>
      <c r="C51" s="48" t="s">
        <v>124</v>
      </c>
      <c r="D51" s="43" t="s">
        <v>125</v>
      </c>
      <c r="E51" s="44">
        <v>46029</v>
      </c>
      <c r="F51" s="44">
        <v>46029</v>
      </c>
      <c r="G51" s="45" t="s">
        <v>210</v>
      </c>
      <c r="H51" s="45" t="s">
        <v>211</v>
      </c>
      <c r="I51" s="44">
        <v>46034.53125</v>
      </c>
      <c r="J51" s="44">
        <v>46034.689050925903</v>
      </c>
      <c r="K51" s="50" t="s">
        <v>305</v>
      </c>
    </row>
    <row r="52" spans="1:11" ht="38.25" x14ac:dyDescent="0.2">
      <c r="A52" s="47">
        <v>19703</v>
      </c>
      <c r="B52" s="43" t="s">
        <v>212</v>
      </c>
      <c r="C52" s="48" t="s">
        <v>110</v>
      </c>
      <c r="D52" s="43" t="s">
        <v>111</v>
      </c>
      <c r="E52" s="44">
        <v>46030</v>
      </c>
      <c r="F52" s="44">
        <v>46030</v>
      </c>
      <c r="G52" s="45" t="s">
        <v>213</v>
      </c>
      <c r="H52" s="45" t="s">
        <v>214</v>
      </c>
      <c r="I52" s="44">
        <v>46031.399305555598</v>
      </c>
      <c r="J52" s="44">
        <v>46031.413888888899</v>
      </c>
      <c r="K52" s="50" t="s">
        <v>305</v>
      </c>
    </row>
    <row r="53" spans="1:11" ht="38.25" x14ac:dyDescent="0.2">
      <c r="A53" s="47">
        <v>19705</v>
      </c>
      <c r="B53" s="43" t="s">
        <v>215</v>
      </c>
      <c r="C53" s="48" t="s">
        <v>216</v>
      </c>
      <c r="D53" s="43" t="s">
        <v>217</v>
      </c>
      <c r="E53" s="44">
        <v>46031</v>
      </c>
      <c r="F53" s="43"/>
      <c r="G53" s="45" t="s">
        <v>218</v>
      </c>
      <c r="H53" s="45" t="s">
        <v>219</v>
      </c>
      <c r="I53" s="44">
        <v>46031.550300925897</v>
      </c>
      <c r="J53" s="44">
        <v>46031.587500000001</v>
      </c>
      <c r="K53" s="50" t="s">
        <v>305</v>
      </c>
    </row>
    <row r="54" spans="1:11" ht="76.5" x14ac:dyDescent="0.2">
      <c r="A54" s="47">
        <v>19778</v>
      </c>
      <c r="B54" s="43" t="s">
        <v>36</v>
      </c>
      <c r="C54" s="48" t="s">
        <v>37</v>
      </c>
      <c r="D54" s="43" t="s">
        <v>38</v>
      </c>
      <c r="E54" s="44">
        <v>46034</v>
      </c>
      <c r="F54" s="44">
        <v>46051</v>
      </c>
      <c r="G54" s="45" t="s">
        <v>220</v>
      </c>
      <c r="H54" s="45" t="s">
        <v>221</v>
      </c>
      <c r="I54" s="44">
        <v>46038.590972222199</v>
      </c>
      <c r="J54" s="44">
        <v>46051.550543981502</v>
      </c>
      <c r="K54" s="50" t="s">
        <v>305</v>
      </c>
    </row>
    <row r="55" spans="1:11" ht="114.75" x14ac:dyDescent="0.2">
      <c r="A55" s="47">
        <v>19714</v>
      </c>
      <c r="B55" s="43" t="s">
        <v>80</v>
      </c>
      <c r="C55" s="48" t="s">
        <v>81</v>
      </c>
      <c r="D55" s="43" t="s">
        <v>82</v>
      </c>
      <c r="E55" s="44">
        <v>46034</v>
      </c>
      <c r="F55" s="44">
        <v>46036</v>
      </c>
      <c r="G55" s="45" t="s">
        <v>222</v>
      </c>
      <c r="H55" s="45" t="s">
        <v>223</v>
      </c>
      <c r="I55" s="44">
        <v>46037.7199652778</v>
      </c>
      <c r="J55" s="44">
        <v>46038.552083333299</v>
      </c>
      <c r="K55" s="50" t="s">
        <v>305</v>
      </c>
    </row>
    <row r="56" spans="1:11" ht="63.75" x14ac:dyDescent="0.2">
      <c r="A56" s="47">
        <v>19716</v>
      </c>
      <c r="B56" s="43" t="s">
        <v>66</v>
      </c>
      <c r="C56" s="48" t="s">
        <v>67</v>
      </c>
      <c r="D56" s="43" t="s">
        <v>68</v>
      </c>
      <c r="E56" s="44">
        <v>46035</v>
      </c>
      <c r="F56" s="44">
        <v>46036</v>
      </c>
      <c r="G56" s="45" t="s">
        <v>224</v>
      </c>
      <c r="H56" s="45" t="s">
        <v>225</v>
      </c>
      <c r="I56" s="44">
        <v>46052.756944444402</v>
      </c>
      <c r="J56" s="44">
        <v>46052.811805555597</v>
      </c>
      <c r="K56" s="50" t="s">
        <v>305</v>
      </c>
    </row>
    <row r="57" spans="1:11" ht="51" x14ac:dyDescent="0.2">
      <c r="A57" s="47">
        <v>19723</v>
      </c>
      <c r="B57" s="43" t="s">
        <v>72</v>
      </c>
      <c r="C57" s="48" t="s">
        <v>37</v>
      </c>
      <c r="D57" s="43" t="s">
        <v>38</v>
      </c>
      <c r="E57" s="44">
        <v>46037</v>
      </c>
      <c r="F57" s="44">
        <v>46037</v>
      </c>
      <c r="G57" s="45" t="s">
        <v>226</v>
      </c>
      <c r="H57" s="45" t="s">
        <v>227</v>
      </c>
      <c r="I57" s="44">
        <v>46037.645833333299</v>
      </c>
      <c r="J57" s="44">
        <v>46043.537349537</v>
      </c>
      <c r="K57" s="50" t="s">
        <v>305</v>
      </c>
    </row>
    <row r="58" spans="1:11" ht="51" x14ac:dyDescent="0.2">
      <c r="A58" s="47">
        <v>19726</v>
      </c>
      <c r="B58" s="43" t="s">
        <v>123</v>
      </c>
      <c r="C58" s="48" t="s">
        <v>124</v>
      </c>
      <c r="D58" s="43" t="s">
        <v>125</v>
      </c>
      <c r="E58" s="44">
        <v>46038</v>
      </c>
      <c r="F58" s="43"/>
      <c r="G58" s="45" t="s">
        <v>228</v>
      </c>
      <c r="H58" s="45" t="s">
        <v>229</v>
      </c>
      <c r="I58" s="44">
        <v>46038.419039351902</v>
      </c>
      <c r="J58" s="44">
        <v>46038.431944444397</v>
      </c>
      <c r="K58" s="50" t="s">
        <v>305</v>
      </c>
    </row>
    <row r="59" spans="1:11" ht="51" x14ac:dyDescent="0.2">
      <c r="A59" s="47">
        <v>19728</v>
      </c>
      <c r="B59" s="43" t="s">
        <v>36</v>
      </c>
      <c r="C59" s="48" t="s">
        <v>37</v>
      </c>
      <c r="D59" s="43" t="s">
        <v>38</v>
      </c>
      <c r="E59" s="44">
        <v>46038</v>
      </c>
      <c r="F59" s="44">
        <v>46043</v>
      </c>
      <c r="G59" s="45" t="s">
        <v>230</v>
      </c>
      <c r="H59" s="45" t="s">
        <v>231</v>
      </c>
      <c r="I59" s="44">
        <v>46039.414942129602</v>
      </c>
      <c r="J59" s="44">
        <v>46041.539282407401</v>
      </c>
      <c r="K59" s="50" t="s">
        <v>305</v>
      </c>
    </row>
    <row r="60" spans="1:11" ht="102" x14ac:dyDescent="0.2">
      <c r="A60" s="47">
        <v>19731</v>
      </c>
      <c r="B60" s="43" t="s">
        <v>48</v>
      </c>
      <c r="C60" s="48" t="s">
        <v>11</v>
      </c>
      <c r="D60" s="43" t="s">
        <v>12</v>
      </c>
      <c r="E60" s="44">
        <v>46041</v>
      </c>
      <c r="F60" s="44">
        <v>46042</v>
      </c>
      <c r="G60" s="45" t="s">
        <v>232</v>
      </c>
      <c r="H60" s="45" t="s">
        <v>233</v>
      </c>
      <c r="I60" s="44">
        <v>46042.620833333298</v>
      </c>
      <c r="J60" s="44">
        <v>46043.468680555598</v>
      </c>
      <c r="K60" s="50" t="s">
        <v>305</v>
      </c>
    </row>
    <row r="61" spans="1:11" ht="25.5" x14ac:dyDescent="0.2">
      <c r="A61" s="47">
        <v>19735</v>
      </c>
      <c r="B61" s="43" t="s">
        <v>70</v>
      </c>
      <c r="C61" s="48" t="s">
        <v>45</v>
      </c>
      <c r="D61" s="43" t="s">
        <v>46</v>
      </c>
      <c r="E61" s="44">
        <v>46042</v>
      </c>
      <c r="F61" s="44">
        <v>46043</v>
      </c>
      <c r="G61" s="45" t="s">
        <v>71</v>
      </c>
      <c r="H61" s="45"/>
      <c r="I61" s="44">
        <v>46042</v>
      </c>
      <c r="J61" s="43"/>
      <c r="K61" s="50" t="s">
        <v>306</v>
      </c>
    </row>
    <row r="62" spans="1:11" ht="51" x14ac:dyDescent="0.2">
      <c r="A62" s="47">
        <v>19742</v>
      </c>
      <c r="B62" s="43" t="s">
        <v>234</v>
      </c>
      <c r="C62" s="48" t="s">
        <v>81</v>
      </c>
      <c r="D62" s="43" t="s">
        <v>82</v>
      </c>
      <c r="E62" s="44">
        <v>46043</v>
      </c>
      <c r="F62" s="43"/>
      <c r="G62" s="45" t="s">
        <v>235</v>
      </c>
      <c r="H62" s="45" t="s">
        <v>130</v>
      </c>
      <c r="I62" s="44">
        <v>46043.410509259302</v>
      </c>
      <c r="J62" s="44">
        <v>46043.438333333303</v>
      </c>
      <c r="K62" s="50" t="s">
        <v>305</v>
      </c>
    </row>
    <row r="63" spans="1:11" ht="114.75" x14ac:dyDescent="0.2">
      <c r="A63" s="47">
        <v>19751</v>
      </c>
      <c r="B63" s="43" t="s">
        <v>48</v>
      </c>
      <c r="C63" s="48" t="s">
        <v>11</v>
      </c>
      <c r="D63" s="43" t="s">
        <v>12</v>
      </c>
      <c r="E63" s="44">
        <v>46044</v>
      </c>
      <c r="F63" s="44">
        <v>46044</v>
      </c>
      <c r="G63" s="45" t="s">
        <v>236</v>
      </c>
      <c r="H63" s="45" t="s">
        <v>237</v>
      </c>
      <c r="I63" s="44">
        <v>46052.680555555598</v>
      </c>
      <c r="J63" s="44">
        <v>46052.751550925903</v>
      </c>
      <c r="K63" s="50" t="s">
        <v>305</v>
      </c>
    </row>
    <row r="64" spans="1:11" ht="38.25" x14ac:dyDescent="0.2">
      <c r="A64" s="47">
        <v>19761</v>
      </c>
      <c r="B64" s="43" t="s">
        <v>123</v>
      </c>
      <c r="C64" s="48" t="s">
        <v>124</v>
      </c>
      <c r="D64" s="43" t="s">
        <v>125</v>
      </c>
      <c r="E64" s="44">
        <v>46048</v>
      </c>
      <c r="F64" s="43"/>
      <c r="G64" s="45" t="s">
        <v>238</v>
      </c>
      <c r="H64" s="45" t="s">
        <v>239</v>
      </c>
      <c r="I64" s="44">
        <v>46048.717245370397</v>
      </c>
      <c r="J64" s="44">
        <v>46048.723194444399</v>
      </c>
      <c r="K64" s="50" t="s">
        <v>305</v>
      </c>
    </row>
    <row r="65" spans="1:11" ht="38.25" x14ac:dyDescent="0.2">
      <c r="A65" s="47">
        <v>19784</v>
      </c>
      <c r="B65" s="43" t="s">
        <v>240</v>
      </c>
      <c r="C65" s="48" t="s">
        <v>30</v>
      </c>
      <c r="D65" s="43" t="s">
        <v>31</v>
      </c>
      <c r="E65" s="44">
        <v>46050</v>
      </c>
      <c r="F65" s="44">
        <v>46052</v>
      </c>
      <c r="G65" s="45" t="s">
        <v>241</v>
      </c>
      <c r="H65" s="45" t="s">
        <v>242</v>
      </c>
      <c r="I65" s="44">
        <v>46051.583333333299</v>
      </c>
      <c r="J65" s="44">
        <v>46051.75</v>
      </c>
      <c r="K65" s="50" t="s">
        <v>305</v>
      </c>
    </row>
    <row r="66" spans="1:11" ht="165.75" x14ac:dyDescent="0.2">
      <c r="A66" s="47">
        <v>19768</v>
      </c>
      <c r="B66" s="43" t="s">
        <v>143</v>
      </c>
      <c r="C66" s="48" t="s">
        <v>92</v>
      </c>
      <c r="D66" s="43" t="s">
        <v>93</v>
      </c>
      <c r="E66" s="44">
        <v>46050</v>
      </c>
      <c r="F66" s="44">
        <v>46051</v>
      </c>
      <c r="G66" s="45" t="s">
        <v>243</v>
      </c>
      <c r="H66" s="45" t="s">
        <v>244</v>
      </c>
      <c r="I66" s="44">
        <v>46055.4777777778</v>
      </c>
      <c r="J66" s="44">
        <v>46055.645856481497</v>
      </c>
      <c r="K66" s="50" t="s">
        <v>305</v>
      </c>
    </row>
    <row r="67" spans="1:11" ht="102" x14ac:dyDescent="0.2">
      <c r="A67" s="47">
        <v>19785</v>
      </c>
      <c r="B67" s="43" t="s">
        <v>10</v>
      </c>
      <c r="C67" s="48" t="s">
        <v>11</v>
      </c>
      <c r="D67" s="43" t="s">
        <v>12</v>
      </c>
      <c r="E67" s="44">
        <v>46052</v>
      </c>
      <c r="F67" s="44">
        <v>46052</v>
      </c>
      <c r="G67" s="45" t="s">
        <v>245</v>
      </c>
      <c r="H67" s="45" t="s">
        <v>246</v>
      </c>
      <c r="I67" s="44">
        <v>46052.427083333299</v>
      </c>
      <c r="J67" s="44">
        <v>46052.427083333299</v>
      </c>
      <c r="K67" s="50" t="s">
        <v>305</v>
      </c>
    </row>
    <row r="68" spans="1:11" ht="140.25" x14ac:dyDescent="0.2">
      <c r="A68" s="47">
        <v>19783</v>
      </c>
      <c r="B68" s="43" t="s">
        <v>121</v>
      </c>
      <c r="C68" s="48" t="s">
        <v>11</v>
      </c>
      <c r="D68" s="43" t="s">
        <v>12</v>
      </c>
      <c r="E68" s="44">
        <v>46052</v>
      </c>
      <c r="F68" s="44">
        <v>46052</v>
      </c>
      <c r="G68" s="45" t="s">
        <v>247</v>
      </c>
      <c r="H68" s="45" t="s">
        <v>248</v>
      </c>
      <c r="I68" s="44">
        <v>46070.3975347222</v>
      </c>
      <c r="J68" s="44">
        <v>46071.770937499998</v>
      </c>
      <c r="K68" s="50" t="s">
        <v>305</v>
      </c>
    </row>
    <row r="69" spans="1:11" ht="127.5" x14ac:dyDescent="0.2">
      <c r="A69" s="47">
        <v>19782</v>
      </c>
      <c r="B69" s="43" t="s">
        <v>48</v>
      </c>
      <c r="C69" s="48" t="s">
        <v>11</v>
      </c>
      <c r="D69" s="43" t="s">
        <v>12</v>
      </c>
      <c r="E69" s="44">
        <v>46052</v>
      </c>
      <c r="F69" s="44">
        <v>46052</v>
      </c>
      <c r="G69" s="45" t="s">
        <v>249</v>
      </c>
      <c r="H69" s="45" t="s">
        <v>97</v>
      </c>
      <c r="I69" s="44">
        <v>46052.396701388898</v>
      </c>
      <c r="J69" s="44">
        <v>46052.655555555597</v>
      </c>
      <c r="K69" s="50" t="s">
        <v>305</v>
      </c>
    </row>
    <row r="70" spans="1:11" ht="114.75" x14ac:dyDescent="0.2">
      <c r="A70" s="47">
        <v>19796</v>
      </c>
      <c r="B70" s="43" t="s">
        <v>123</v>
      </c>
      <c r="C70" s="48" t="s">
        <v>124</v>
      </c>
      <c r="D70" s="43" t="s">
        <v>125</v>
      </c>
      <c r="E70" s="44">
        <v>46055</v>
      </c>
      <c r="F70" s="43"/>
      <c r="G70" s="45" t="s">
        <v>250</v>
      </c>
      <c r="H70" s="45" t="s">
        <v>251</v>
      </c>
      <c r="I70" s="44">
        <v>46055.688888888901</v>
      </c>
      <c r="J70" s="44">
        <v>46055.738738425898</v>
      </c>
      <c r="K70" s="50" t="s">
        <v>305</v>
      </c>
    </row>
    <row r="71" spans="1:11" ht="63.75" x14ac:dyDescent="0.2">
      <c r="A71" s="47">
        <v>19802</v>
      </c>
      <c r="B71" s="43" t="s">
        <v>10</v>
      </c>
      <c r="C71" s="48" t="s">
        <v>11</v>
      </c>
      <c r="D71" s="43" t="s">
        <v>12</v>
      </c>
      <c r="E71" s="44">
        <v>46056</v>
      </c>
      <c r="F71" s="44">
        <v>46056</v>
      </c>
      <c r="G71" s="45" t="s">
        <v>252</v>
      </c>
      <c r="H71" s="45" t="s">
        <v>253</v>
      </c>
      <c r="I71" s="44">
        <v>46056.493055555598</v>
      </c>
      <c r="J71" s="44">
        <v>46056.8297453704</v>
      </c>
      <c r="K71" s="50" t="s">
        <v>305</v>
      </c>
    </row>
    <row r="72" spans="1:11" ht="357" x14ac:dyDescent="0.2">
      <c r="A72" s="47">
        <v>19801</v>
      </c>
      <c r="B72" s="43" t="s">
        <v>240</v>
      </c>
      <c r="C72" s="48" t="s">
        <v>30</v>
      </c>
      <c r="D72" s="43" t="s">
        <v>31</v>
      </c>
      <c r="E72" s="44">
        <v>46056</v>
      </c>
      <c r="F72" s="44">
        <v>46056</v>
      </c>
      <c r="G72" s="45" t="s">
        <v>254</v>
      </c>
      <c r="H72" s="45" t="s">
        <v>255</v>
      </c>
      <c r="I72" s="44">
        <v>46059.511597222197</v>
      </c>
      <c r="J72" s="44">
        <v>46065.616666666698</v>
      </c>
      <c r="K72" s="50" t="s">
        <v>305</v>
      </c>
    </row>
    <row r="73" spans="1:11" ht="63.75" x14ac:dyDescent="0.2">
      <c r="A73" s="47">
        <v>19798</v>
      </c>
      <c r="B73" s="43" t="s">
        <v>109</v>
      </c>
      <c r="C73" s="48" t="s">
        <v>110</v>
      </c>
      <c r="D73" s="43" t="s">
        <v>111</v>
      </c>
      <c r="E73" s="44">
        <v>46056</v>
      </c>
      <c r="F73" s="44">
        <v>46056</v>
      </c>
      <c r="G73" s="45" t="s">
        <v>256</v>
      </c>
      <c r="H73" s="45" t="s">
        <v>257</v>
      </c>
      <c r="I73" s="44">
        <v>46056.430127314801</v>
      </c>
      <c r="J73" s="44">
        <v>46056.436770833301</v>
      </c>
      <c r="K73" s="50" t="s">
        <v>305</v>
      </c>
    </row>
    <row r="74" spans="1:11" ht="369.75" x14ac:dyDescent="0.2">
      <c r="A74" s="47">
        <v>19799</v>
      </c>
      <c r="B74" s="43" t="s">
        <v>91</v>
      </c>
      <c r="C74" s="48" t="s">
        <v>92</v>
      </c>
      <c r="D74" s="43" t="s">
        <v>93</v>
      </c>
      <c r="E74" s="44">
        <v>46056</v>
      </c>
      <c r="F74" s="43"/>
      <c r="G74" s="45" t="s">
        <v>258</v>
      </c>
      <c r="H74" s="45" t="s">
        <v>259</v>
      </c>
      <c r="I74" s="44">
        <v>46058.389583333301</v>
      </c>
      <c r="J74" s="44">
        <v>46058.473472222198</v>
      </c>
      <c r="K74" s="50" t="s">
        <v>305</v>
      </c>
    </row>
    <row r="75" spans="1:11" ht="38.25" x14ac:dyDescent="0.2">
      <c r="A75" s="47">
        <v>19810</v>
      </c>
      <c r="B75" s="43" t="s">
        <v>48</v>
      </c>
      <c r="C75" s="48" t="s">
        <v>11</v>
      </c>
      <c r="D75" s="43" t="s">
        <v>12</v>
      </c>
      <c r="E75" s="44">
        <v>46057</v>
      </c>
      <c r="F75" s="44">
        <v>46058</v>
      </c>
      <c r="G75" s="45" t="s">
        <v>260</v>
      </c>
      <c r="H75" s="45" t="s">
        <v>261</v>
      </c>
      <c r="I75" s="44">
        <v>46058.821284722202</v>
      </c>
      <c r="J75" s="44">
        <v>46058.830532407403</v>
      </c>
      <c r="K75" s="50" t="s">
        <v>305</v>
      </c>
    </row>
    <row r="76" spans="1:11" ht="51" x14ac:dyDescent="0.2">
      <c r="A76" s="47">
        <v>19806</v>
      </c>
      <c r="B76" s="43" t="s">
        <v>262</v>
      </c>
      <c r="C76" s="48" t="s">
        <v>124</v>
      </c>
      <c r="D76" s="43" t="s">
        <v>125</v>
      </c>
      <c r="E76" s="44">
        <v>46057</v>
      </c>
      <c r="F76" s="44">
        <v>46057</v>
      </c>
      <c r="G76" s="45" t="s">
        <v>263</v>
      </c>
      <c r="H76" s="45" t="s">
        <v>264</v>
      </c>
      <c r="I76" s="44">
        <v>46057.59375</v>
      </c>
      <c r="J76" s="44">
        <v>46057.6118055556</v>
      </c>
      <c r="K76" s="50" t="s">
        <v>305</v>
      </c>
    </row>
    <row r="77" spans="1:11" ht="89.25" x14ac:dyDescent="0.2">
      <c r="A77" s="47">
        <v>19809</v>
      </c>
      <c r="B77" s="43" t="s">
        <v>36</v>
      </c>
      <c r="C77" s="48" t="s">
        <v>37</v>
      </c>
      <c r="D77" s="43" t="s">
        <v>38</v>
      </c>
      <c r="E77" s="44">
        <v>46057</v>
      </c>
      <c r="F77" s="44">
        <v>46058</v>
      </c>
      <c r="G77" s="45" t="s">
        <v>265</v>
      </c>
      <c r="H77" s="45" t="s">
        <v>266</v>
      </c>
      <c r="I77" s="44">
        <v>46060.479166666701</v>
      </c>
      <c r="J77" s="44">
        <v>46060.630474537</v>
      </c>
      <c r="K77" s="50" t="s">
        <v>305</v>
      </c>
    </row>
    <row r="78" spans="1:11" ht="89.25" x14ac:dyDescent="0.2">
      <c r="A78" s="47">
        <v>19814</v>
      </c>
      <c r="B78" s="43" t="s">
        <v>57</v>
      </c>
      <c r="C78" s="48" t="s">
        <v>58</v>
      </c>
      <c r="D78" s="43" t="s">
        <v>59</v>
      </c>
      <c r="E78" s="44">
        <v>46057</v>
      </c>
      <c r="F78" s="43"/>
      <c r="G78" s="45" t="s">
        <v>267</v>
      </c>
      <c r="H78" s="45" t="s">
        <v>268</v>
      </c>
      <c r="I78" s="44">
        <v>46057.381249999999</v>
      </c>
      <c r="J78" s="44">
        <v>46058.35</v>
      </c>
      <c r="K78" s="50" t="s">
        <v>305</v>
      </c>
    </row>
    <row r="79" spans="1:11" ht="76.5" x14ac:dyDescent="0.2">
      <c r="A79" s="47">
        <v>19803</v>
      </c>
      <c r="B79" s="43" t="s">
        <v>262</v>
      </c>
      <c r="C79" s="48" t="s">
        <v>124</v>
      </c>
      <c r="D79" s="43" t="s">
        <v>125</v>
      </c>
      <c r="E79" s="44">
        <v>46057</v>
      </c>
      <c r="F79" s="44">
        <v>46057</v>
      </c>
      <c r="G79" s="45" t="s">
        <v>269</v>
      </c>
      <c r="H79" s="45" t="s">
        <v>270</v>
      </c>
      <c r="I79" s="44">
        <v>46058.4686574074</v>
      </c>
      <c r="J79" s="44">
        <v>46058.583935185197</v>
      </c>
      <c r="K79" s="50" t="s">
        <v>305</v>
      </c>
    </row>
    <row r="80" spans="1:11" ht="51" x14ac:dyDescent="0.2">
      <c r="A80" s="47">
        <v>19812</v>
      </c>
      <c r="B80" s="43" t="s">
        <v>48</v>
      </c>
      <c r="C80" s="48" t="s">
        <v>11</v>
      </c>
      <c r="D80" s="43" t="s">
        <v>12</v>
      </c>
      <c r="E80" s="44">
        <v>46058</v>
      </c>
      <c r="F80" s="44">
        <v>46059</v>
      </c>
      <c r="G80" s="45" t="s">
        <v>271</v>
      </c>
      <c r="H80" s="45" t="s">
        <v>272</v>
      </c>
      <c r="I80" s="44">
        <v>46058.8346296296</v>
      </c>
      <c r="J80" s="44">
        <v>46059.671446759297</v>
      </c>
      <c r="K80" s="50" t="s">
        <v>305</v>
      </c>
    </row>
    <row r="81" spans="1:11" ht="76.5" x14ac:dyDescent="0.2">
      <c r="A81" s="47">
        <v>19818</v>
      </c>
      <c r="B81" s="43" t="s">
        <v>80</v>
      </c>
      <c r="C81" s="48" t="s">
        <v>81</v>
      </c>
      <c r="D81" s="43" t="s">
        <v>82</v>
      </c>
      <c r="E81" s="44">
        <v>46062</v>
      </c>
      <c r="F81" s="44">
        <v>46063</v>
      </c>
      <c r="G81" s="45" t="s">
        <v>273</v>
      </c>
      <c r="H81" s="45" t="s">
        <v>97</v>
      </c>
      <c r="I81" s="44">
        <v>46076.534143518496</v>
      </c>
      <c r="J81" s="44">
        <v>46076.5456597222</v>
      </c>
      <c r="K81" s="50" t="s">
        <v>305</v>
      </c>
    </row>
    <row r="82" spans="1:11" ht="63.75" x14ac:dyDescent="0.2">
      <c r="A82" s="47">
        <v>19826</v>
      </c>
      <c r="B82" s="43" t="s">
        <v>57</v>
      </c>
      <c r="C82" s="48" t="s">
        <v>58</v>
      </c>
      <c r="D82" s="43" t="s">
        <v>59</v>
      </c>
      <c r="E82" s="44">
        <v>46063</v>
      </c>
      <c r="F82" s="44">
        <v>46063</v>
      </c>
      <c r="G82" s="45" t="s">
        <v>274</v>
      </c>
      <c r="H82" s="45" t="s">
        <v>275</v>
      </c>
      <c r="I82" s="44">
        <v>46063.375</v>
      </c>
      <c r="J82" s="44">
        <v>46066.7944444444</v>
      </c>
      <c r="K82" s="50" t="s">
        <v>305</v>
      </c>
    </row>
    <row r="83" spans="1:11" ht="216.75" x14ac:dyDescent="0.2">
      <c r="A83" s="47">
        <v>19823</v>
      </c>
      <c r="B83" s="43" t="s">
        <v>145</v>
      </c>
      <c r="C83" s="48" t="s">
        <v>92</v>
      </c>
      <c r="D83" s="43" t="s">
        <v>93</v>
      </c>
      <c r="E83" s="44">
        <v>46063</v>
      </c>
      <c r="F83" s="44">
        <v>46063</v>
      </c>
      <c r="G83" s="45" t="s">
        <v>150</v>
      </c>
      <c r="H83" s="45" t="s">
        <v>151</v>
      </c>
      <c r="I83" s="44">
        <v>46092.4352083333</v>
      </c>
      <c r="J83" s="44">
        <v>46094.575115740699</v>
      </c>
      <c r="K83" s="50" t="s">
        <v>305</v>
      </c>
    </row>
    <row r="84" spans="1:11" ht="178.5" x14ac:dyDescent="0.2">
      <c r="A84" s="47">
        <v>19830</v>
      </c>
      <c r="B84" s="43" t="s">
        <v>91</v>
      </c>
      <c r="C84" s="48" t="s">
        <v>92</v>
      </c>
      <c r="D84" s="43" t="s">
        <v>93</v>
      </c>
      <c r="E84" s="44">
        <v>46064</v>
      </c>
      <c r="F84" s="44">
        <v>46064</v>
      </c>
      <c r="G84" s="45" t="s">
        <v>276</v>
      </c>
      <c r="H84" s="45" t="s">
        <v>277</v>
      </c>
      <c r="I84" s="44">
        <v>46065.438703703701</v>
      </c>
      <c r="J84" s="44">
        <v>46067.396122685197</v>
      </c>
      <c r="K84" s="50" t="s">
        <v>305</v>
      </c>
    </row>
    <row r="85" spans="1:11" ht="25.5" x14ac:dyDescent="0.2">
      <c r="A85" s="47">
        <v>19832</v>
      </c>
      <c r="B85" s="43" t="s">
        <v>278</v>
      </c>
      <c r="C85" s="48" t="s">
        <v>30</v>
      </c>
      <c r="D85" s="43" t="s">
        <v>31</v>
      </c>
      <c r="E85" s="44">
        <v>46064</v>
      </c>
      <c r="F85" s="44">
        <v>46066</v>
      </c>
      <c r="G85" s="45" t="s">
        <v>279</v>
      </c>
      <c r="H85" s="45" t="s">
        <v>280</v>
      </c>
      <c r="I85" s="44">
        <v>46064.420833333301</v>
      </c>
      <c r="J85" s="44">
        <v>46064.713148148097</v>
      </c>
      <c r="K85" s="50" t="s">
        <v>305</v>
      </c>
    </row>
    <row r="86" spans="1:11" ht="51" x14ac:dyDescent="0.2">
      <c r="A86" s="47">
        <v>19835</v>
      </c>
      <c r="B86" s="43" t="s">
        <v>29</v>
      </c>
      <c r="C86" s="48" t="s">
        <v>30</v>
      </c>
      <c r="D86" s="43" t="s">
        <v>31</v>
      </c>
      <c r="E86" s="44">
        <v>46065</v>
      </c>
      <c r="F86" s="44">
        <v>46066</v>
      </c>
      <c r="G86" s="45" t="s">
        <v>281</v>
      </c>
      <c r="H86" s="45" t="s">
        <v>282</v>
      </c>
      <c r="I86" s="44">
        <v>46069.739583333299</v>
      </c>
      <c r="J86" s="44">
        <v>46069.864340277803</v>
      </c>
      <c r="K86" s="50" t="s">
        <v>305</v>
      </c>
    </row>
    <row r="87" spans="1:11" ht="306" x14ac:dyDescent="0.2">
      <c r="A87" s="47">
        <v>19837</v>
      </c>
      <c r="B87" s="43" t="s">
        <v>143</v>
      </c>
      <c r="C87" s="48" t="s">
        <v>92</v>
      </c>
      <c r="D87" s="43" t="s">
        <v>93</v>
      </c>
      <c r="E87" s="44">
        <v>46065</v>
      </c>
      <c r="F87" s="44">
        <v>46066</v>
      </c>
      <c r="G87" s="45" t="s">
        <v>283</v>
      </c>
      <c r="H87" s="45" t="s">
        <v>284</v>
      </c>
      <c r="I87" s="44">
        <v>46069.628831018497</v>
      </c>
      <c r="J87" s="44">
        <v>46069.638969907399</v>
      </c>
      <c r="K87" s="50" t="s">
        <v>305</v>
      </c>
    </row>
    <row r="88" spans="1:11" ht="51" x14ac:dyDescent="0.2">
      <c r="A88" s="47">
        <v>19833</v>
      </c>
      <c r="B88" s="43" t="s">
        <v>176</v>
      </c>
      <c r="C88" s="48" t="s">
        <v>37</v>
      </c>
      <c r="D88" s="43" t="s">
        <v>38</v>
      </c>
      <c r="E88" s="44">
        <v>46065</v>
      </c>
      <c r="F88" s="44">
        <v>46066</v>
      </c>
      <c r="G88" s="45" t="s">
        <v>285</v>
      </c>
      <c r="H88" s="45" t="s">
        <v>286</v>
      </c>
      <c r="I88" s="44">
        <v>46069.363148148099</v>
      </c>
      <c r="J88" s="44">
        <v>46069.4433796296</v>
      </c>
      <c r="K88" s="50" t="s">
        <v>305</v>
      </c>
    </row>
    <row r="89" spans="1:11" ht="51" x14ac:dyDescent="0.2">
      <c r="A89" s="47">
        <v>19847</v>
      </c>
      <c r="B89" s="43" t="s">
        <v>66</v>
      </c>
      <c r="C89" s="48" t="s">
        <v>67</v>
      </c>
      <c r="D89" s="43" t="s">
        <v>68</v>
      </c>
      <c r="E89" s="44">
        <v>46066</v>
      </c>
      <c r="F89" s="44">
        <v>46066</v>
      </c>
      <c r="G89" s="45" t="s">
        <v>287</v>
      </c>
      <c r="H89" s="45" t="s">
        <v>288</v>
      </c>
      <c r="I89" s="44">
        <v>46066.420138888898</v>
      </c>
      <c r="J89" s="44">
        <v>46069.876863425903</v>
      </c>
      <c r="K89" s="50" t="s">
        <v>305</v>
      </c>
    </row>
    <row r="90" spans="1:11" ht="63.75" x14ac:dyDescent="0.2">
      <c r="A90" s="47">
        <v>19842</v>
      </c>
      <c r="B90" s="43" t="s">
        <v>123</v>
      </c>
      <c r="C90" s="48" t="s">
        <v>124</v>
      </c>
      <c r="D90" s="43" t="s">
        <v>125</v>
      </c>
      <c r="E90" s="44">
        <v>46067</v>
      </c>
      <c r="F90" s="43"/>
      <c r="G90" s="45" t="s">
        <v>289</v>
      </c>
      <c r="H90" s="45" t="s">
        <v>290</v>
      </c>
      <c r="I90" s="44">
        <v>46069.5137384259</v>
      </c>
      <c r="J90" s="44">
        <v>46069.549664351798</v>
      </c>
      <c r="K90" s="50" t="s">
        <v>305</v>
      </c>
    </row>
    <row r="91" spans="1:11" ht="242.25" x14ac:dyDescent="0.2">
      <c r="A91" s="47">
        <v>19840</v>
      </c>
      <c r="B91" s="43" t="s">
        <v>123</v>
      </c>
      <c r="C91" s="48" t="s">
        <v>124</v>
      </c>
      <c r="D91" s="43" t="s">
        <v>125</v>
      </c>
      <c r="E91" s="44">
        <v>46067</v>
      </c>
      <c r="F91" s="44">
        <v>46070</v>
      </c>
      <c r="G91" s="45" t="s">
        <v>291</v>
      </c>
      <c r="H91" s="45" t="s">
        <v>292</v>
      </c>
      <c r="I91" s="44">
        <v>46071.518217592602</v>
      </c>
      <c r="J91" s="44">
        <v>46072.725960648102</v>
      </c>
      <c r="K91" s="50" t="s">
        <v>305</v>
      </c>
    </row>
    <row r="92" spans="1:11" ht="38.25" x14ac:dyDescent="0.2">
      <c r="A92" s="47">
        <v>19854</v>
      </c>
      <c r="B92" s="43" t="s">
        <v>139</v>
      </c>
      <c r="C92" s="48" t="s">
        <v>124</v>
      </c>
      <c r="D92" s="43" t="s">
        <v>125</v>
      </c>
      <c r="E92" s="44">
        <v>46072</v>
      </c>
      <c r="F92" s="44">
        <v>46072</v>
      </c>
      <c r="G92" s="45" t="s">
        <v>293</v>
      </c>
      <c r="H92" s="45" t="s">
        <v>294</v>
      </c>
      <c r="I92" s="44">
        <v>46072.572847222204</v>
      </c>
      <c r="J92" s="44">
        <v>46072.580740740697</v>
      </c>
      <c r="K92" s="50" t="s">
        <v>305</v>
      </c>
    </row>
    <row r="93" spans="1:11" ht="25.5" x14ac:dyDescent="0.2">
      <c r="A93" s="47">
        <v>19855</v>
      </c>
      <c r="B93" s="43" t="s">
        <v>72</v>
      </c>
      <c r="C93" s="48" t="s">
        <v>37</v>
      </c>
      <c r="D93" s="43" t="s">
        <v>38</v>
      </c>
      <c r="E93" s="44">
        <v>46072</v>
      </c>
      <c r="F93" s="44">
        <v>46072</v>
      </c>
      <c r="G93" s="45" t="s">
        <v>76</v>
      </c>
      <c r="H93" s="45"/>
      <c r="I93" s="43"/>
      <c r="J93" s="43"/>
      <c r="K93" s="50" t="s">
        <v>306</v>
      </c>
    </row>
    <row r="94" spans="1:11" ht="76.5" x14ac:dyDescent="0.2">
      <c r="A94" s="47">
        <v>19869</v>
      </c>
      <c r="B94" s="43" t="s">
        <v>80</v>
      </c>
      <c r="C94" s="48" t="s">
        <v>81</v>
      </c>
      <c r="D94" s="43" t="s">
        <v>82</v>
      </c>
      <c r="E94" s="44">
        <v>46073</v>
      </c>
      <c r="F94" s="44">
        <v>46073</v>
      </c>
      <c r="G94" s="45" t="s">
        <v>295</v>
      </c>
      <c r="H94" s="45" t="s">
        <v>296</v>
      </c>
      <c r="I94" s="44">
        <v>46073.698333333297</v>
      </c>
      <c r="J94" s="44">
        <v>46073.724108796298</v>
      </c>
      <c r="K94" s="50" t="s">
        <v>305</v>
      </c>
    </row>
    <row r="95" spans="1:11" ht="51" x14ac:dyDescent="0.2">
      <c r="A95" s="47">
        <v>19873</v>
      </c>
      <c r="B95" s="43" t="s">
        <v>29</v>
      </c>
      <c r="C95" s="48" t="s">
        <v>30</v>
      </c>
      <c r="D95" s="43" t="s">
        <v>31</v>
      </c>
      <c r="E95" s="44">
        <v>46076</v>
      </c>
      <c r="F95" s="44">
        <v>46077</v>
      </c>
      <c r="G95" s="45" t="s">
        <v>32</v>
      </c>
      <c r="H95" s="45" t="s">
        <v>33</v>
      </c>
      <c r="I95" s="44">
        <v>46076.527083333298</v>
      </c>
      <c r="J95" s="44">
        <v>46097.6965277778</v>
      </c>
      <c r="K95" s="50" t="s">
        <v>305</v>
      </c>
    </row>
    <row r="96" spans="1:11" ht="63.75" x14ac:dyDescent="0.2">
      <c r="A96" s="47">
        <v>19872</v>
      </c>
      <c r="B96" s="43" t="s">
        <v>29</v>
      </c>
      <c r="C96" s="48" t="s">
        <v>30</v>
      </c>
      <c r="D96" s="43" t="s">
        <v>31</v>
      </c>
      <c r="E96" s="44">
        <v>46076</v>
      </c>
      <c r="F96" s="44">
        <v>46077</v>
      </c>
      <c r="G96" s="45" t="s">
        <v>297</v>
      </c>
      <c r="H96" s="45" t="s">
        <v>130</v>
      </c>
      <c r="I96" s="44">
        <v>46077.438194444403</v>
      </c>
      <c r="J96" s="44">
        <v>46077.452777777798</v>
      </c>
      <c r="K96" s="50" t="s">
        <v>305</v>
      </c>
    </row>
    <row r="97" spans="1:11" ht="127.5" x14ac:dyDescent="0.2">
      <c r="A97" s="47">
        <v>19876</v>
      </c>
      <c r="B97" s="43" t="s">
        <v>145</v>
      </c>
      <c r="C97" s="48" t="s">
        <v>92</v>
      </c>
      <c r="D97" s="43" t="s">
        <v>93</v>
      </c>
      <c r="E97" s="44">
        <v>46077</v>
      </c>
      <c r="F97" s="43"/>
      <c r="G97" s="45" t="s">
        <v>152</v>
      </c>
      <c r="H97" s="45" t="s">
        <v>153</v>
      </c>
      <c r="I97" s="44">
        <v>46083.415972222203</v>
      </c>
      <c r="J97" s="44">
        <v>46083.7257986111</v>
      </c>
      <c r="K97" s="50" t="s">
        <v>305</v>
      </c>
    </row>
    <row r="98" spans="1:11" ht="38.25" x14ac:dyDescent="0.2">
      <c r="A98" s="47">
        <v>19878</v>
      </c>
      <c r="B98" s="43" t="s">
        <v>72</v>
      </c>
      <c r="C98" s="48" t="s">
        <v>37</v>
      </c>
      <c r="D98" s="43" t="s">
        <v>38</v>
      </c>
      <c r="E98" s="44">
        <v>46077</v>
      </c>
      <c r="F98" s="44">
        <v>46083</v>
      </c>
      <c r="G98" s="45" t="s">
        <v>73</v>
      </c>
      <c r="H98" s="45"/>
      <c r="I98" s="43"/>
      <c r="J98" s="43"/>
      <c r="K98" s="50" t="s">
        <v>306</v>
      </c>
    </row>
    <row r="99" spans="1:11" ht="114.75" x14ac:dyDescent="0.2">
      <c r="A99" s="47">
        <v>19880</v>
      </c>
      <c r="B99" s="43" t="s">
        <v>298</v>
      </c>
      <c r="C99" s="48" t="s">
        <v>124</v>
      </c>
      <c r="D99" s="43" t="s">
        <v>125</v>
      </c>
      <c r="E99" s="44">
        <v>46078</v>
      </c>
      <c r="F99" s="44">
        <v>46083</v>
      </c>
      <c r="G99" s="45" t="s">
        <v>299</v>
      </c>
      <c r="H99" s="45" t="s">
        <v>300</v>
      </c>
      <c r="I99" s="44">
        <v>46078.545497685198</v>
      </c>
      <c r="J99" s="44">
        <v>46078.567534722199</v>
      </c>
      <c r="K99" s="50" t="s">
        <v>305</v>
      </c>
    </row>
    <row r="100" spans="1:11" ht="63.75" x14ac:dyDescent="0.2">
      <c r="A100" s="47">
        <v>19882</v>
      </c>
      <c r="B100" s="43" t="s">
        <v>80</v>
      </c>
      <c r="C100" s="48" t="s">
        <v>81</v>
      </c>
      <c r="D100" s="43" t="s">
        <v>82</v>
      </c>
      <c r="E100" s="44">
        <v>46078</v>
      </c>
      <c r="F100" s="44">
        <v>46083</v>
      </c>
      <c r="G100" s="45" t="s">
        <v>87</v>
      </c>
      <c r="H100" s="45" t="s">
        <v>88</v>
      </c>
      <c r="I100" s="44">
        <v>46107.388888888898</v>
      </c>
      <c r="J100" s="44">
        <v>46083.402719907397</v>
      </c>
      <c r="K100" s="50" t="s">
        <v>305</v>
      </c>
    </row>
    <row r="101" spans="1:11" ht="127.5" x14ac:dyDescent="0.2">
      <c r="A101" s="47">
        <v>19879</v>
      </c>
      <c r="B101" s="43" t="s">
        <v>80</v>
      </c>
      <c r="C101" s="48" t="s">
        <v>81</v>
      </c>
      <c r="D101" s="43" t="s">
        <v>82</v>
      </c>
      <c r="E101" s="44">
        <v>46078</v>
      </c>
      <c r="F101" s="44">
        <v>46083</v>
      </c>
      <c r="G101" s="45" t="s">
        <v>301</v>
      </c>
      <c r="H101" s="45" t="s">
        <v>302</v>
      </c>
      <c r="I101" s="44">
        <v>46079.681145833303</v>
      </c>
      <c r="J101" s="44">
        <v>46079.702199074098</v>
      </c>
      <c r="K101" s="50" t="s">
        <v>305</v>
      </c>
    </row>
    <row r="102" spans="1:11" ht="63.75" x14ac:dyDescent="0.2">
      <c r="A102" s="47">
        <v>19887</v>
      </c>
      <c r="B102" s="43" t="s">
        <v>29</v>
      </c>
      <c r="C102" s="48" t="s">
        <v>30</v>
      </c>
      <c r="D102" s="43" t="s">
        <v>31</v>
      </c>
      <c r="E102" s="44">
        <v>46079</v>
      </c>
      <c r="F102" s="44">
        <v>46083</v>
      </c>
      <c r="G102" s="45" t="s">
        <v>34</v>
      </c>
      <c r="H102" s="45" t="s">
        <v>35</v>
      </c>
      <c r="I102" s="44">
        <v>46084.371527777803</v>
      </c>
      <c r="J102" s="44">
        <v>46097.416666666701</v>
      </c>
      <c r="K102" s="50" t="s">
        <v>305</v>
      </c>
    </row>
    <row r="103" spans="1:11" ht="25.5" x14ac:dyDescent="0.2">
      <c r="A103" s="47">
        <v>19886</v>
      </c>
      <c r="B103" s="43" t="s">
        <v>57</v>
      </c>
      <c r="C103" s="48" t="s">
        <v>58</v>
      </c>
      <c r="D103" s="43" t="s">
        <v>59</v>
      </c>
      <c r="E103" s="44">
        <v>46079</v>
      </c>
      <c r="F103" s="43"/>
      <c r="G103" s="45" t="s">
        <v>303</v>
      </c>
      <c r="H103" s="45" t="s">
        <v>88</v>
      </c>
      <c r="I103" s="44">
        <v>46079.429861111101</v>
      </c>
      <c r="J103" s="44">
        <v>46079.6805439815</v>
      </c>
      <c r="K103" s="50" t="s">
        <v>305</v>
      </c>
    </row>
    <row r="104" spans="1:11" ht="38.25" x14ac:dyDescent="0.2">
      <c r="A104" s="47">
        <v>19890</v>
      </c>
      <c r="B104" s="43" t="s">
        <v>48</v>
      </c>
      <c r="C104" s="48" t="s">
        <v>11</v>
      </c>
      <c r="D104" s="43" t="s">
        <v>12</v>
      </c>
      <c r="E104" s="44">
        <v>46080</v>
      </c>
      <c r="F104" s="44">
        <v>46083</v>
      </c>
      <c r="G104" s="45" t="s">
        <v>51</v>
      </c>
      <c r="H104" s="45" t="s">
        <v>52</v>
      </c>
      <c r="I104" s="44">
        <v>46080.456053240698</v>
      </c>
      <c r="J104" s="44">
        <v>46080.463275463</v>
      </c>
      <c r="K104" s="50" t="s">
        <v>305</v>
      </c>
    </row>
    <row r="105" spans="1:11" ht="89.25" x14ac:dyDescent="0.2">
      <c r="A105" s="47">
        <v>19892</v>
      </c>
      <c r="B105" s="43" t="s">
        <v>109</v>
      </c>
      <c r="C105" s="48" t="s">
        <v>110</v>
      </c>
      <c r="D105" s="43" t="s">
        <v>111</v>
      </c>
      <c r="E105" s="44">
        <v>46081</v>
      </c>
      <c r="F105" s="43"/>
      <c r="G105" s="45" t="s">
        <v>114</v>
      </c>
      <c r="H105" s="45" t="s">
        <v>115</v>
      </c>
      <c r="I105" s="44">
        <v>46081.484039351897</v>
      </c>
      <c r="J105" s="44">
        <v>46081.493055555598</v>
      </c>
      <c r="K105" s="50" t="s">
        <v>305</v>
      </c>
    </row>
    <row r="106" spans="1:11" ht="38.25" x14ac:dyDescent="0.2">
      <c r="A106" s="47">
        <v>19902</v>
      </c>
      <c r="B106" s="43" t="s">
        <v>123</v>
      </c>
      <c r="C106" s="48" t="s">
        <v>124</v>
      </c>
      <c r="D106" s="43" t="s">
        <v>125</v>
      </c>
      <c r="E106" s="44">
        <v>46084</v>
      </c>
      <c r="F106" s="44">
        <v>46085</v>
      </c>
      <c r="G106" s="45" t="s">
        <v>137</v>
      </c>
      <c r="H106" s="45" t="s">
        <v>138</v>
      </c>
      <c r="I106" s="44">
        <v>46091.414537037002</v>
      </c>
      <c r="J106" s="44">
        <v>46091.5242939815</v>
      </c>
      <c r="K106" s="50" t="s">
        <v>305</v>
      </c>
    </row>
    <row r="107" spans="1:11" ht="63.75" x14ac:dyDescent="0.2">
      <c r="A107" s="47">
        <v>19913</v>
      </c>
      <c r="B107" s="43" t="s">
        <v>91</v>
      </c>
      <c r="C107" s="48" t="s">
        <v>92</v>
      </c>
      <c r="D107" s="43" t="s">
        <v>93</v>
      </c>
      <c r="E107" s="44">
        <v>46085</v>
      </c>
      <c r="F107" s="44">
        <v>46086</v>
      </c>
      <c r="G107" s="45" t="s">
        <v>98</v>
      </c>
      <c r="H107" s="45" t="s">
        <v>99</v>
      </c>
      <c r="I107" s="44">
        <v>46086.784722222197</v>
      </c>
      <c r="J107" s="44">
        <v>46086.794467592597</v>
      </c>
      <c r="K107" s="50" t="s">
        <v>305</v>
      </c>
    </row>
    <row r="108" spans="1:11" ht="127.5" x14ac:dyDescent="0.2">
      <c r="A108" s="47">
        <v>19911</v>
      </c>
      <c r="B108" s="43" t="s">
        <v>80</v>
      </c>
      <c r="C108" s="48" t="s">
        <v>81</v>
      </c>
      <c r="D108" s="43" t="s">
        <v>82</v>
      </c>
      <c r="E108" s="44">
        <v>46085</v>
      </c>
      <c r="F108" s="44">
        <v>46086</v>
      </c>
      <c r="G108" s="45" t="s">
        <v>85</v>
      </c>
      <c r="H108" s="45" t="s">
        <v>86</v>
      </c>
      <c r="I108" s="44">
        <v>46085.434027777803</v>
      </c>
      <c r="J108" s="44">
        <v>46085.475694444402</v>
      </c>
      <c r="K108" s="50" t="s">
        <v>305</v>
      </c>
    </row>
    <row r="109" spans="1:11" ht="63.75" x14ac:dyDescent="0.2">
      <c r="A109" s="47">
        <v>19912</v>
      </c>
      <c r="B109" s="43" t="s">
        <v>145</v>
      </c>
      <c r="C109" s="48" t="s">
        <v>92</v>
      </c>
      <c r="D109" s="43" t="s">
        <v>93</v>
      </c>
      <c r="E109" s="44">
        <v>46085</v>
      </c>
      <c r="F109" s="44">
        <v>46085</v>
      </c>
      <c r="G109" s="45" t="s">
        <v>155</v>
      </c>
      <c r="H109" s="45" t="s">
        <v>156</v>
      </c>
      <c r="I109" s="44">
        <v>46085.496527777803</v>
      </c>
      <c r="J109" s="44">
        <v>46085.499305555597</v>
      </c>
      <c r="K109" s="50" t="s">
        <v>305</v>
      </c>
    </row>
    <row r="110" spans="1:11" ht="63.75" x14ac:dyDescent="0.2">
      <c r="A110" s="47">
        <v>19920</v>
      </c>
      <c r="B110" s="43" t="s">
        <v>109</v>
      </c>
      <c r="C110" s="48" t="s">
        <v>110</v>
      </c>
      <c r="D110" s="43" t="s">
        <v>111</v>
      </c>
      <c r="E110" s="44">
        <v>46088</v>
      </c>
      <c r="F110" s="44">
        <v>46090</v>
      </c>
      <c r="G110" s="45" t="s">
        <v>118</v>
      </c>
      <c r="H110" s="45" t="s">
        <v>119</v>
      </c>
      <c r="I110" s="44">
        <v>46089.416666666701</v>
      </c>
      <c r="J110" s="44">
        <v>46090.416666666701</v>
      </c>
      <c r="K110" s="50" t="s">
        <v>305</v>
      </c>
    </row>
    <row r="111" spans="1:11" ht="76.5" x14ac:dyDescent="0.2">
      <c r="A111" s="47">
        <v>19922</v>
      </c>
      <c r="B111" s="43" t="s">
        <v>109</v>
      </c>
      <c r="C111" s="48" t="s">
        <v>110</v>
      </c>
      <c r="D111" s="43" t="s">
        <v>111</v>
      </c>
      <c r="E111" s="44">
        <v>46090</v>
      </c>
      <c r="F111" s="44">
        <v>46091</v>
      </c>
      <c r="G111" s="45" t="s">
        <v>116</v>
      </c>
      <c r="H111" s="45" t="s">
        <v>117</v>
      </c>
      <c r="I111" s="44">
        <v>46091.394849536999</v>
      </c>
      <c r="J111" s="44">
        <v>46091.413136574098</v>
      </c>
      <c r="K111" s="50" t="s">
        <v>305</v>
      </c>
    </row>
    <row r="112" spans="1:11" ht="51" x14ac:dyDescent="0.2">
      <c r="A112" s="47">
        <v>19931</v>
      </c>
      <c r="B112" s="43" t="s">
        <v>123</v>
      </c>
      <c r="C112" s="48" t="s">
        <v>124</v>
      </c>
      <c r="D112" s="43" t="s">
        <v>125</v>
      </c>
      <c r="E112" s="44">
        <v>46092</v>
      </c>
      <c r="F112" s="44">
        <v>46093</v>
      </c>
      <c r="G112" s="45" t="s">
        <v>133</v>
      </c>
      <c r="H112" s="45" t="s">
        <v>134</v>
      </c>
      <c r="I112" s="44">
        <v>46093.353923611103</v>
      </c>
      <c r="J112" s="44">
        <v>46093.379583333299</v>
      </c>
      <c r="K112" s="50" t="s">
        <v>305</v>
      </c>
    </row>
    <row r="113" spans="1:11" ht="140.25" x14ac:dyDescent="0.2">
      <c r="A113" s="47">
        <v>19926</v>
      </c>
      <c r="B113" s="43" t="s">
        <v>145</v>
      </c>
      <c r="C113" s="48" t="s">
        <v>92</v>
      </c>
      <c r="D113" s="43" t="s">
        <v>93</v>
      </c>
      <c r="E113" s="44">
        <v>46092</v>
      </c>
      <c r="F113" s="43"/>
      <c r="G113" s="45" t="s">
        <v>154</v>
      </c>
      <c r="H113" s="45" t="s">
        <v>138</v>
      </c>
      <c r="I113" s="44">
        <v>46091.643750000003</v>
      </c>
      <c r="J113" s="44">
        <v>46092.433240740698</v>
      </c>
      <c r="K113" s="50" t="s">
        <v>305</v>
      </c>
    </row>
    <row r="114" spans="1:11" ht="102" x14ac:dyDescent="0.2">
      <c r="A114" s="47">
        <v>19927</v>
      </c>
      <c r="B114" s="43" t="s">
        <v>36</v>
      </c>
      <c r="C114" s="48" t="s">
        <v>37</v>
      </c>
      <c r="D114" s="43" t="s">
        <v>38</v>
      </c>
      <c r="E114" s="44">
        <v>46092</v>
      </c>
      <c r="F114" s="44">
        <v>46093</v>
      </c>
      <c r="G114" s="45" t="s">
        <v>43</v>
      </c>
      <c r="H114" s="45"/>
      <c r="I114" s="43"/>
      <c r="J114" s="43"/>
      <c r="K114" s="50" t="s">
        <v>306</v>
      </c>
    </row>
    <row r="115" spans="1:11" ht="25.5" x14ac:dyDescent="0.2">
      <c r="A115" s="47">
        <v>19937</v>
      </c>
      <c r="B115" s="43" t="s">
        <v>123</v>
      </c>
      <c r="C115" s="48" t="s">
        <v>124</v>
      </c>
      <c r="D115" s="43" t="s">
        <v>125</v>
      </c>
      <c r="E115" s="44">
        <v>46093</v>
      </c>
      <c r="F115" s="44">
        <v>46104</v>
      </c>
      <c r="G115" s="45" t="s">
        <v>131</v>
      </c>
      <c r="H115" s="45" t="s">
        <v>132</v>
      </c>
      <c r="I115" s="44">
        <v>46093.699305555601</v>
      </c>
      <c r="J115" s="44">
        <v>46093.722916666702</v>
      </c>
      <c r="K115" s="50" t="s">
        <v>305</v>
      </c>
    </row>
    <row r="116" spans="1:11" ht="127.5" x14ac:dyDescent="0.2">
      <c r="A116" s="47">
        <v>19935</v>
      </c>
      <c r="B116" s="43" t="s">
        <v>91</v>
      </c>
      <c r="C116" s="48" t="s">
        <v>92</v>
      </c>
      <c r="D116" s="43" t="s">
        <v>93</v>
      </c>
      <c r="E116" s="44">
        <v>46093</v>
      </c>
      <c r="F116" s="44">
        <v>46097</v>
      </c>
      <c r="G116" s="45" t="s">
        <v>100</v>
      </c>
      <c r="H116" s="45" t="s">
        <v>101</v>
      </c>
      <c r="I116" s="44">
        <v>46098.409178240698</v>
      </c>
      <c r="J116" s="44">
        <v>46098.501331018502</v>
      </c>
      <c r="K116" s="50" t="s">
        <v>305</v>
      </c>
    </row>
    <row r="117" spans="1:11" ht="153" x14ac:dyDescent="0.2">
      <c r="A117" s="47">
        <v>19934</v>
      </c>
      <c r="B117" s="43" t="s">
        <v>109</v>
      </c>
      <c r="C117" s="48" t="s">
        <v>110</v>
      </c>
      <c r="D117" s="43" t="s">
        <v>111</v>
      </c>
      <c r="E117" s="44">
        <v>46093</v>
      </c>
      <c r="F117" s="44">
        <v>46097</v>
      </c>
      <c r="G117" s="45" t="s">
        <v>112</v>
      </c>
      <c r="H117" s="45" t="s">
        <v>113</v>
      </c>
      <c r="I117" s="44">
        <v>46097.6648263889</v>
      </c>
      <c r="J117" s="43"/>
      <c r="K117" s="50" t="s">
        <v>306</v>
      </c>
    </row>
    <row r="118" spans="1:11" ht="63.75" x14ac:dyDescent="0.2">
      <c r="A118" s="47">
        <v>19940</v>
      </c>
      <c r="B118" s="43" t="s">
        <v>145</v>
      </c>
      <c r="C118" s="48" t="s">
        <v>92</v>
      </c>
      <c r="D118" s="43" t="s">
        <v>93</v>
      </c>
      <c r="E118" s="44">
        <v>46094</v>
      </c>
      <c r="F118" s="44">
        <v>46097</v>
      </c>
      <c r="G118" s="45" t="s">
        <v>146</v>
      </c>
      <c r="H118" s="45" t="s">
        <v>147</v>
      </c>
      <c r="I118" s="44">
        <v>46097.454166666699</v>
      </c>
      <c r="J118" s="44">
        <v>46097.494502314803</v>
      </c>
      <c r="K118" s="50" t="s">
        <v>305</v>
      </c>
    </row>
    <row r="119" spans="1:11" ht="102" x14ac:dyDescent="0.2">
      <c r="A119" s="47">
        <v>20013</v>
      </c>
      <c r="B119" s="43" t="s">
        <v>57</v>
      </c>
      <c r="C119" s="48" t="s">
        <v>58</v>
      </c>
      <c r="D119" s="43" t="s">
        <v>59</v>
      </c>
      <c r="E119" s="44">
        <v>46094</v>
      </c>
      <c r="F119" s="44">
        <v>46094</v>
      </c>
      <c r="G119" s="45" t="s">
        <v>64</v>
      </c>
      <c r="H119" s="45" t="s">
        <v>65</v>
      </c>
      <c r="I119" s="44">
        <v>46094.395833333299</v>
      </c>
      <c r="J119" s="43"/>
      <c r="K119" s="50" t="s">
        <v>306</v>
      </c>
    </row>
    <row r="120" spans="1:11" ht="89.25" x14ac:dyDescent="0.2">
      <c r="A120" s="47">
        <v>19945</v>
      </c>
      <c r="B120" s="43" t="s">
        <v>145</v>
      </c>
      <c r="C120" s="48" t="s">
        <v>92</v>
      </c>
      <c r="D120" s="43" t="s">
        <v>93</v>
      </c>
      <c r="E120" s="44">
        <v>46097</v>
      </c>
      <c r="F120" s="43"/>
      <c r="G120" s="45" t="s">
        <v>148</v>
      </c>
      <c r="H120" s="45" t="s">
        <v>149</v>
      </c>
      <c r="I120" s="44">
        <v>46097.439606481501</v>
      </c>
      <c r="J120" s="44">
        <v>46097.461111111101</v>
      </c>
      <c r="K120" s="50" t="s">
        <v>305</v>
      </c>
    </row>
    <row r="121" spans="1:11" ht="63.75" x14ac:dyDescent="0.2">
      <c r="A121" s="47">
        <v>19948</v>
      </c>
      <c r="B121" s="43" t="s">
        <v>48</v>
      </c>
      <c r="C121" s="48" t="s">
        <v>11</v>
      </c>
      <c r="D121" s="43" t="s">
        <v>12</v>
      </c>
      <c r="E121" s="44">
        <v>46097</v>
      </c>
      <c r="F121" s="44">
        <v>46098</v>
      </c>
      <c r="G121" s="45" t="s">
        <v>50</v>
      </c>
      <c r="H121" s="45"/>
      <c r="I121" s="43"/>
      <c r="J121" s="43"/>
      <c r="K121" s="50" t="s">
        <v>306</v>
      </c>
    </row>
    <row r="122" spans="1:11" ht="127.5" x14ac:dyDescent="0.2">
      <c r="A122" s="47">
        <v>19958</v>
      </c>
      <c r="B122" s="43" t="s">
        <v>80</v>
      </c>
      <c r="C122" s="48" t="s">
        <v>81</v>
      </c>
      <c r="D122" s="43" t="s">
        <v>82</v>
      </c>
      <c r="E122" s="44">
        <v>46098</v>
      </c>
      <c r="F122" s="44">
        <v>46098</v>
      </c>
      <c r="G122" s="45" t="s">
        <v>83</v>
      </c>
      <c r="H122" s="45" t="s">
        <v>84</v>
      </c>
      <c r="I122" s="44">
        <v>46100.580405092602</v>
      </c>
      <c r="J122" s="44">
        <v>46101.5258217593</v>
      </c>
      <c r="K122" s="50" t="s">
        <v>305</v>
      </c>
    </row>
    <row r="123" spans="1:11" ht="63.75" x14ac:dyDescent="0.2">
      <c r="A123" s="47">
        <v>19954</v>
      </c>
      <c r="B123" s="43" t="s">
        <v>36</v>
      </c>
      <c r="C123" s="48" t="s">
        <v>37</v>
      </c>
      <c r="D123" s="43" t="s">
        <v>38</v>
      </c>
      <c r="E123" s="44">
        <v>46098</v>
      </c>
      <c r="F123" s="44">
        <v>46098</v>
      </c>
      <c r="G123" s="45" t="s">
        <v>41</v>
      </c>
      <c r="H123" s="45" t="s">
        <v>42</v>
      </c>
      <c r="I123" s="44">
        <v>46098.731469907398</v>
      </c>
      <c r="J123" s="44">
        <v>46098.750277777799</v>
      </c>
      <c r="K123" s="50" t="s">
        <v>305</v>
      </c>
    </row>
    <row r="124" spans="1:11" ht="63.75" x14ac:dyDescent="0.2">
      <c r="A124" s="47">
        <v>19955</v>
      </c>
      <c r="B124" s="43" t="s">
        <v>91</v>
      </c>
      <c r="C124" s="48" t="s">
        <v>92</v>
      </c>
      <c r="D124" s="43" t="s">
        <v>93</v>
      </c>
      <c r="E124" s="44">
        <v>46098</v>
      </c>
      <c r="F124" s="43"/>
      <c r="G124" s="45" t="s">
        <v>102</v>
      </c>
      <c r="H124" s="45" t="s">
        <v>103</v>
      </c>
      <c r="I124" s="44">
        <v>46099.644178240698</v>
      </c>
      <c r="J124" s="44">
        <v>46099.745983796303</v>
      </c>
      <c r="K124" s="50" t="s">
        <v>305</v>
      </c>
    </row>
    <row r="125" spans="1:11" ht="204" x14ac:dyDescent="0.2">
      <c r="A125" s="47">
        <v>19952</v>
      </c>
      <c r="B125" s="43" t="s">
        <v>91</v>
      </c>
      <c r="C125" s="48" t="s">
        <v>92</v>
      </c>
      <c r="D125" s="43" t="s">
        <v>93</v>
      </c>
      <c r="E125" s="44">
        <v>46098</v>
      </c>
      <c r="F125" s="44">
        <v>46098</v>
      </c>
      <c r="G125" s="45" t="s">
        <v>94</v>
      </c>
      <c r="H125" s="45" t="s">
        <v>95</v>
      </c>
      <c r="I125" s="43"/>
      <c r="J125" s="43"/>
      <c r="K125" s="50" t="s">
        <v>306</v>
      </c>
    </row>
    <row r="126" spans="1:11" ht="51" x14ac:dyDescent="0.2">
      <c r="A126" s="47">
        <v>20014</v>
      </c>
      <c r="B126" s="43" t="s">
        <v>123</v>
      </c>
      <c r="C126" s="48" t="s">
        <v>124</v>
      </c>
      <c r="D126" s="43" t="s">
        <v>125</v>
      </c>
      <c r="E126" s="44">
        <v>46099</v>
      </c>
      <c r="F126" s="44">
        <v>46099</v>
      </c>
      <c r="G126" s="45" t="s">
        <v>126</v>
      </c>
      <c r="H126" s="45" t="s">
        <v>127</v>
      </c>
      <c r="I126" s="44">
        <v>46099.416666666701</v>
      </c>
      <c r="J126" s="44">
        <v>46101.702083333301</v>
      </c>
      <c r="K126" s="50" t="s">
        <v>305</v>
      </c>
    </row>
    <row r="127" spans="1:11" ht="89.25" x14ac:dyDescent="0.2">
      <c r="A127" s="47">
        <v>20012</v>
      </c>
      <c r="B127" s="43" t="s">
        <v>57</v>
      </c>
      <c r="C127" s="48" t="s">
        <v>58</v>
      </c>
      <c r="D127" s="43" t="s">
        <v>59</v>
      </c>
      <c r="E127" s="44">
        <v>46099</v>
      </c>
      <c r="F127" s="44">
        <v>46099</v>
      </c>
      <c r="G127" s="45" t="s">
        <v>62</v>
      </c>
      <c r="H127" s="45" t="s">
        <v>63</v>
      </c>
      <c r="I127" s="44">
        <v>46099.666666666701</v>
      </c>
      <c r="J127" s="44">
        <v>46106.416666666701</v>
      </c>
      <c r="K127" s="50" t="s">
        <v>305</v>
      </c>
    </row>
    <row r="128" spans="1:11" ht="63.75" x14ac:dyDescent="0.2">
      <c r="A128" s="47">
        <v>19969</v>
      </c>
      <c r="B128" s="43" t="s">
        <v>44</v>
      </c>
      <c r="C128" s="48" t="s">
        <v>45</v>
      </c>
      <c r="D128" s="43" t="s">
        <v>46</v>
      </c>
      <c r="E128" s="44">
        <v>46100</v>
      </c>
      <c r="F128" s="44">
        <v>46104</v>
      </c>
      <c r="G128" s="45" t="s">
        <v>47</v>
      </c>
      <c r="H128" s="45"/>
      <c r="I128" s="43"/>
      <c r="J128" s="43"/>
      <c r="K128" s="50" t="s">
        <v>306</v>
      </c>
    </row>
    <row r="129" spans="1:11" ht="25.5" x14ac:dyDescent="0.2">
      <c r="A129" s="47">
        <v>19974</v>
      </c>
      <c r="B129" s="43" t="s">
        <v>123</v>
      </c>
      <c r="C129" s="48" t="s">
        <v>124</v>
      </c>
      <c r="D129" s="43" t="s">
        <v>125</v>
      </c>
      <c r="E129" s="44">
        <v>46101</v>
      </c>
      <c r="F129" s="43"/>
      <c r="G129" s="45" t="s">
        <v>135</v>
      </c>
      <c r="H129" s="45" t="s">
        <v>136</v>
      </c>
      <c r="I129" s="44">
        <v>46101.7108449074</v>
      </c>
      <c r="J129" s="44">
        <v>46101.734004629601</v>
      </c>
      <c r="K129" s="50" t="s">
        <v>305</v>
      </c>
    </row>
    <row r="130" spans="1:11" ht="63.75" x14ac:dyDescent="0.2">
      <c r="A130" s="47">
        <v>19982</v>
      </c>
      <c r="B130" s="43" t="s">
        <v>72</v>
      </c>
      <c r="C130" s="48" t="s">
        <v>37</v>
      </c>
      <c r="D130" s="43" t="s">
        <v>38</v>
      </c>
      <c r="E130" s="44">
        <v>46104</v>
      </c>
      <c r="F130" s="43"/>
      <c r="G130" s="45" t="s">
        <v>74</v>
      </c>
      <c r="H130" s="45" t="s">
        <v>75</v>
      </c>
      <c r="I130" s="44">
        <v>46105.630555555603</v>
      </c>
      <c r="J130" s="44">
        <v>46105.639930555597</v>
      </c>
      <c r="K130" s="50" t="s">
        <v>305</v>
      </c>
    </row>
    <row r="131" spans="1:11" ht="153" x14ac:dyDescent="0.2">
      <c r="A131" s="47">
        <v>19977</v>
      </c>
      <c r="B131" s="43" t="s">
        <v>48</v>
      </c>
      <c r="C131" s="48" t="s">
        <v>11</v>
      </c>
      <c r="D131" s="43" t="s">
        <v>12</v>
      </c>
      <c r="E131" s="44">
        <v>46104</v>
      </c>
      <c r="F131" s="44">
        <v>46104</v>
      </c>
      <c r="G131" s="45" t="s">
        <v>49</v>
      </c>
      <c r="H131" s="45"/>
      <c r="I131" s="43"/>
      <c r="J131" s="43"/>
      <c r="K131" s="50" t="s">
        <v>306</v>
      </c>
    </row>
    <row r="132" spans="1:11" ht="38.25" x14ac:dyDescent="0.2">
      <c r="A132" s="47">
        <v>19989</v>
      </c>
      <c r="B132" s="43" t="s">
        <v>123</v>
      </c>
      <c r="C132" s="48" t="s">
        <v>124</v>
      </c>
      <c r="D132" s="43" t="s">
        <v>125</v>
      </c>
      <c r="E132" s="44">
        <v>46106</v>
      </c>
      <c r="F132" s="43"/>
      <c r="G132" s="45" t="s">
        <v>129</v>
      </c>
      <c r="H132" s="45" t="s">
        <v>130</v>
      </c>
      <c r="I132" s="44"/>
      <c r="J132" s="44">
        <v>46106</v>
      </c>
      <c r="K132" s="50">
        <v>9</v>
      </c>
    </row>
    <row r="133" spans="1:11" ht="63.75" x14ac:dyDescent="0.2">
      <c r="A133" s="47">
        <v>19993</v>
      </c>
      <c r="B133" s="43" t="s">
        <v>57</v>
      </c>
      <c r="C133" s="48" t="s">
        <v>58</v>
      </c>
      <c r="D133" s="43" t="s">
        <v>59</v>
      </c>
      <c r="E133" s="44">
        <v>46106</v>
      </c>
      <c r="F133" s="43"/>
      <c r="G133" s="45" t="s">
        <v>60</v>
      </c>
      <c r="H133" s="45" t="s">
        <v>61</v>
      </c>
      <c r="I133" s="44">
        <v>46099.456944444399</v>
      </c>
      <c r="J133" s="44">
        <v>46106.722222222197</v>
      </c>
      <c r="K133" s="50" t="s">
        <v>305</v>
      </c>
    </row>
    <row r="134" spans="1:11" ht="51" x14ac:dyDescent="0.2">
      <c r="A134" s="47">
        <v>19987</v>
      </c>
      <c r="B134" s="43" t="s">
        <v>91</v>
      </c>
      <c r="C134" s="48" t="s">
        <v>92</v>
      </c>
      <c r="D134" s="43" t="s">
        <v>93</v>
      </c>
      <c r="E134" s="44">
        <v>46106</v>
      </c>
      <c r="F134" s="44">
        <v>46106</v>
      </c>
      <c r="G134" s="45" t="s">
        <v>96</v>
      </c>
      <c r="H134" s="45" t="s">
        <v>97</v>
      </c>
      <c r="I134" s="44">
        <v>46106.486284722203</v>
      </c>
      <c r="J134" s="44">
        <v>46106.5131944444</v>
      </c>
      <c r="K134" s="50" t="s">
        <v>305</v>
      </c>
    </row>
    <row r="135" spans="1:11" ht="38.25" x14ac:dyDescent="0.2">
      <c r="A135" s="47">
        <v>19992</v>
      </c>
      <c r="B135" s="43" t="s">
        <v>143</v>
      </c>
      <c r="C135" s="48" t="s">
        <v>92</v>
      </c>
      <c r="D135" s="43" t="s">
        <v>93</v>
      </c>
      <c r="E135" s="44">
        <v>46106</v>
      </c>
      <c r="F135" s="44">
        <v>46107</v>
      </c>
      <c r="G135" s="45" t="s">
        <v>144</v>
      </c>
      <c r="H135" s="45" t="s">
        <v>130</v>
      </c>
      <c r="I135" s="44">
        <v>46099.456944444399</v>
      </c>
      <c r="J135" s="43"/>
      <c r="K135" s="50" t="s">
        <v>306</v>
      </c>
    </row>
    <row r="136" spans="1:11" ht="38.25" x14ac:dyDescent="0.2">
      <c r="A136" s="47">
        <v>19990</v>
      </c>
      <c r="B136" s="43" t="s">
        <v>123</v>
      </c>
      <c r="C136" s="48" t="s">
        <v>124</v>
      </c>
      <c r="D136" s="43" t="s">
        <v>125</v>
      </c>
      <c r="E136" s="44">
        <v>46106</v>
      </c>
      <c r="F136" s="44">
        <v>46106</v>
      </c>
      <c r="G136" s="45" t="s">
        <v>128</v>
      </c>
      <c r="H136" s="45"/>
      <c r="I136" s="43"/>
      <c r="J136" s="43"/>
      <c r="K136" s="50" t="s">
        <v>306</v>
      </c>
    </row>
    <row r="137" spans="1:11" ht="127.5" x14ac:dyDescent="0.2">
      <c r="A137" s="47">
        <v>20001</v>
      </c>
      <c r="B137" s="43" t="s">
        <v>36</v>
      </c>
      <c r="C137" s="48" t="s">
        <v>37</v>
      </c>
      <c r="D137" s="43" t="s">
        <v>38</v>
      </c>
      <c r="E137" s="44">
        <v>46107</v>
      </c>
      <c r="F137" s="43"/>
      <c r="G137" s="45" t="s">
        <v>39</v>
      </c>
      <c r="H137" s="45" t="s">
        <v>40</v>
      </c>
      <c r="I137" s="44">
        <v>46107.6411226852</v>
      </c>
      <c r="J137" s="44">
        <v>46107.696064814802</v>
      </c>
      <c r="K137" s="50" t="s">
        <v>305</v>
      </c>
    </row>
  </sheetData>
  <autoFilter ref="A1:K137" xr:uid="{80138762-AE5A-4773-9BAF-5891F01A940A}"/>
  <sortState xmlns:xlrd2="http://schemas.microsoft.com/office/spreadsheetml/2017/richdata2" ref="A2:K137">
    <sortCondition ref="E2:E137"/>
  </sortState>
  <pageMargins left="0.75" right="0.75" top="1" bottom="1" header="0" footer="0"/>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RESUMEN</vt:lpstr>
      <vt:lpstr>DATA_DESARROLLO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C250_01</dc:creator>
  <cp:lastModifiedBy>María Astete</cp:lastModifiedBy>
  <dcterms:created xsi:type="dcterms:W3CDTF">2026-03-27T06:36:37Z</dcterms:created>
  <dcterms:modified xsi:type="dcterms:W3CDTF">2026-03-27T09:28:20Z</dcterms:modified>
</cp:coreProperties>
</file>